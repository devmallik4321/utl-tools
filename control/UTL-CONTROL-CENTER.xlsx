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00 INDEX" state="visible" r:id="rId4"/>
    <sheet sheetId="2" name="P-Dashboard" state="visible" r:id="rId5"/>
    <sheet sheetId="3" name="P-Charter" state="visible" r:id="rId6"/>
    <sheet sheetId="4" name="P-Utilities" state="visible" r:id="rId7"/>
    <sheet sheetId="5" name="P-Work" state="visible" r:id="rId8"/>
    <sheet sheetId="6" name="P-Research" state="visible" r:id="rId9"/>
    <sheet sheetId="7" name="P-Releases" state="visible" r:id="rId10"/>
    <sheet sheetId="8" name="P-Contexts" state="visible" r:id="rId11"/>
    <sheet sheetId="9" name="P-Sessions" state="visible" r:id="rId12"/>
    <sheet sheetId="10" name="C-Reviews" state="visible" r:id="rId13"/>
    <sheet sheetId="11" name="C-Changes" state="visible" r:id="rId14"/>
    <sheet sheetId="12" name="C-TestCases" state="visible" r:id="rId15"/>
    <sheet sheetId="13" name="C-SEO" state="visible" r:id="rId16"/>
    <sheet sheetId="14" name="C-Trust" state="visible" r:id="rId17"/>
    <sheet sheetId="15" name="C-Candidates" state="visible" r:id="rId18"/>
    <sheet sheetId="16" name="C-Competitors" state="visible" r:id="rId19"/>
    <sheet sheetId="17" name="C-SearchIntel" state="visible" r:id="rId20"/>
    <sheet sheetId="18" name="C-Widgets" state="visible" r:id="rId21"/>
    <sheet sheetId="19" name="C-WidgetCategories" state="visible" r:id="rId22"/>
    <sheet sheetId="20" name="C-GrowthObservations" state="visible" r:id="rId23"/>
    <sheet sheetId="21" name="C-GrowthOpportunities" state="visible" r:id="rId24"/>
  </sheets>
  <calcPr calcId="171027"/>
</workbook>
</file>

<file path=xl/sharedStrings.xml><?xml version="1.0" encoding="utf-8"?>
<sst xmlns="http://schemas.openxmlformats.org/spreadsheetml/2006/main" count="6724" uniqueCount="2141">
  <si>
    <t>UTL.tools — Canonical Control Center Master Index</t>
  </si>
  <si>
    <t>Single source of operational truth for Human Operator, Antigravity CLI, and Subagents.</t>
  </si>
  <si>
    <t>SN</t>
  </si>
  <si>
    <t>Code</t>
  </si>
  <si>
    <t>Sheet Name</t>
  </si>
  <si>
    <t>Type</t>
  </si>
  <si>
    <t>Parent</t>
  </si>
  <si>
    <t>Description</t>
  </si>
  <si>
    <t>Record Count</t>
  </si>
  <si>
    <t>Direct Navigation</t>
  </si>
  <si>
    <t>P-00</t>
  </si>
  <si>
    <t>P-00 INDEX</t>
  </si>
  <si>
    <t>ROOT</t>
  </si>
  <si>
    <t>Canonical navigation directory registering all worksheets.</t>
  </si>
  <si>
    <t>19 Sheets</t>
  </si>
  <si>
    <t>Open P-00 INDEX ➡️</t>
  </si>
  <si>
    <t>P-01</t>
  </si>
  <si>
    <t>P-Dashboard</t>
  </si>
  <si>
    <t>Operational KPIs, live status, GA4 analytics, Search Console state, and maintenance freeze.</t>
  </si>
  <si>
    <t>Formula KPIs</t>
  </si>
  <si>
    <t>Open P-Dashboard ➡️</t>
  </si>
  <si>
    <t>P-02</t>
  </si>
  <si>
    <t>P-Charter</t>
  </si>
  <si>
    <t>Project mission, philosophy, design rules, non-goals, and governance.</t>
  </si>
  <si>
    <t>Charter Doc</t>
  </si>
  <si>
    <t>Open P-Charter ➡️</t>
  </si>
  <si>
    <t>P-03</t>
  </si>
  <si>
    <t>P-Utilities</t>
  </si>
  <si>
    <t>Master registry of all 47 production utilities with live status &amp; URLs.</t>
  </si>
  <si>
    <t>47 Utilities</t>
  </si>
  <si>
    <t>Open P-Utilities ➡️</t>
  </si>
  <si>
    <t>P-04</t>
  </si>
  <si>
    <t>P-Work</t>
  </si>
  <si>
    <t>Primary actionable work queue, task states, acceptance criteria, assignments.</t>
  </si>
  <si>
    <t>Work Queue</t>
  </si>
  <si>
    <t>Open P-Work ➡️</t>
  </si>
  <si>
    <t>P-05</t>
  </si>
  <si>
    <t>P-Research</t>
  </si>
  <si>
    <t>Specialized context research findings, domain benchmarks, and recommendations.</t>
  </si>
  <si>
    <t>Research Log</t>
  </si>
  <si>
    <t>Open P-Research ➡️</t>
  </si>
  <si>
    <t>P-06</t>
  </si>
  <si>
    <t>P-Releases</t>
  </si>
  <si>
    <t>Version release ledger, milestones, deployment statuses, and builds.</t>
  </si>
  <si>
    <t>Releases Log</t>
  </si>
  <si>
    <t>Open P-Releases ➡️</t>
  </si>
  <si>
    <t>P-07</t>
  </si>
  <si>
    <t>P-Contexts</t>
  </si>
  <si>
    <t>Standard operating agent contexts (CTX-001 through CTX-010) with prompt links.</t>
  </si>
  <si>
    <t>10 Contexts</t>
  </si>
  <si>
    <t>Open P-Contexts ➡️</t>
  </si>
  <si>
    <t>P-08</t>
  </si>
  <si>
    <t>P-Sessions</t>
  </si>
  <si>
    <t>Persistent Antigravity CLI &amp; agent session registry with conversation IDs.</t>
  </si>
  <si>
    <t>Sessions Log</t>
  </si>
  <si>
    <t>Open P-Sessions ➡️</t>
  </si>
  <si>
    <t>C-01</t>
  </si>
  <si>
    <t>C-Reviews</t>
  </si>
  <si>
    <t>Child</t>
  </si>
  <si>
    <t>30-column operational review matrix with dropdowns and human comments.</t>
  </si>
  <si>
    <t>47 Rows</t>
  </si>
  <si>
    <t>Open C-Reviews ➡️</t>
  </si>
  <si>
    <t>C-02</t>
  </si>
  <si>
    <t>C-Changes</t>
  </si>
  <si>
    <t>Master chronological changelog history with author stamps.</t>
  </si>
  <si>
    <t>94 Entries</t>
  </si>
  <si>
    <t>Open C-Changes ➡️</t>
  </si>
  <si>
    <t>C-03</t>
  </si>
  <si>
    <t>C-TestCases</t>
  </si>
  <si>
    <t>Executable test cases with step-by-step instructions, inputs, expected/actual.</t>
  </si>
  <si>
    <t>47 Test Cases</t>
  </si>
  <si>
    <t>Open C-TestCases ➡️</t>
  </si>
  <si>
    <t>C-04</t>
  </si>
  <si>
    <t>C-SEO</t>
  </si>
  <si>
    <t>Search intent mapping, primary/secondary keywords, JSON-LD Schema status.</t>
  </si>
  <si>
    <t>47 SEO Records</t>
  </si>
  <si>
    <t>Open C-SEO ➡️</t>
  </si>
  <si>
    <t>C-05</t>
  </si>
  <si>
    <t>C-Trust</t>
  </si>
  <si>
    <t>Zero-knowledge client-side audit, Web APIs used, formulas, and sandboxing.</t>
  </si>
  <si>
    <t>47 Trust Audits</t>
  </si>
  <si>
    <t>Open C-Trust ➡️</t>
  </si>
  <si>
    <t>C-06</t>
  </si>
  <si>
    <t>C-Candidates</t>
  </si>
  <si>
    <t>Prioritized expansion pipeline backlog (P0, P1, P2, P3).</t>
  </si>
  <si>
    <t>31 Candidates</t>
  </si>
  <si>
    <t>Open C-Candidates ➡️</t>
  </si>
  <si>
    <t>C-07</t>
  </si>
  <si>
    <t>C-Competitors</t>
  </si>
  <si>
    <t>Competitor intelligence tracking (features, traffic, gaps, opportunities).</t>
  </si>
  <si>
    <t>7 Competitors</t>
  </si>
  <si>
    <t>Open C-Competitors ➡️</t>
  </si>
  <si>
    <t>C-08</t>
  </si>
  <si>
    <t>C-SearchIntel</t>
  </si>
  <si>
    <t>Search intelligence registry (queries, country, intent, SERP density).</t>
  </si>
  <si>
    <t>8 Search Records</t>
  </si>
  <si>
    <t>Open C-SearchIntel ➡️</t>
  </si>
  <si>
    <t>C-09</t>
  </si>
  <si>
    <t>C-Widgets</t>
  </si>
  <si>
    <t>Windows Widget Discovery Layer master registry (id, name, platform_type, review).</t>
  </si>
  <si>
    <t>12 Widgets</t>
  </si>
  <si>
    <t>Open C-Widgets ➡️</t>
  </si>
  <si>
    <t>C-10</t>
  </si>
  <si>
    <t>C-WidgetCategories</t>
  </si>
  <si>
    <t>Windows Widget Category taxonomy &amp; intent mapping registry.</t>
  </si>
  <si>
    <t>16 Categories</t>
  </si>
  <si>
    <t>Open C-WidgetCategories ➡️</t>
  </si>
  <si>
    <t>C-11</t>
  </si>
  <si>
    <t>C-GrowthObservations</t>
  </si>
  <si>
    <t>Canonical Project Intelligence observation ledger with epistemic classification.</t>
  </si>
  <si>
    <t>14 Observations</t>
  </si>
  <si>
    <t>Open C-GrowthObservations ➡️</t>
  </si>
  <si>
    <t>C-12</t>
  </si>
  <si>
    <t>C-GrowthOpportunities</t>
  </si>
  <si>
    <t>Ranked Project Intelligence opportunities queue with human approval gates.</t>
  </si>
  <si>
    <t>6 Opportunities</t>
  </si>
  <si>
    <t>Open C-GrowthOpportunities ➡️</t>
  </si>
  <si>
    <t>⬅️ Back to P-00 INDEX</t>
  </si>
  <si>
    <t>UTL.tools — Operational Control Dashboard</t>
  </si>
  <si>
    <t>Live state overview, operational metrics, Project Intelligence, and maintenance freeze state.</t>
  </si>
  <si>
    <t>Metric</t>
  </si>
  <si>
    <t>Value</t>
  </si>
  <si>
    <t>Derived From / Source</t>
  </si>
  <si>
    <t>Direct Link</t>
  </si>
  <si>
    <t>Platform Status</t>
  </si>
  <si>
    <t>MAINTENANCE_MODE (FEATURE_DEVELOPMENT_FROZEN)</t>
  </si>
  <si>
    <t>Governance Directive</t>
  </si>
  <si>
    <t>Open Production</t>
  </si>
  <si>
    <t>Current Version</t>
  </si>
  <si>
    <t>1.2.0 (Observability, Widgets &amp; Project Intelligence V1)</t>
  </si>
  <si>
    <t>Release Ledger</t>
  </si>
  <si>
    <t>View Changelog</t>
  </si>
  <si>
    <t>Project Intelligence Health</t>
  </si>
  <si>
    <t>HEALTHY (Live Multi-Provider Intelligence Active)</t>
  </si>
  <si>
    <t>Project Intelligence Engine</t>
  </si>
  <si>
    <t>View Opportunities</t>
  </si>
  <si>
    <t>GA4 Data API v1beta</t>
  </si>
  <si>
    <t>CONNECTED (Live: 11 active users, 12 sessions, 48 pageviews in Last 7 Days)</t>
  </si>
  <si>
    <t>UtlGA4Adapter</t>
  </si>
  <si>
    <t>View Layout</t>
  </si>
  <si>
    <t>Google Search Console</t>
  </si>
  <si>
    <t>CONNECTED (Live Search Analytics: sc-domain:utl.tools active; 0 rows / newly verified)</t>
  </si>
  <si>
    <t>UtlSearchConsoleAdapter</t>
  </si>
  <si>
    <t>View Sitemap</t>
  </si>
  <si>
    <t>Internal Application Telemetry</t>
  </si>
  <si>
    <t>HEALTHY (47 Utilities &amp; 12 Windows Widgets Monitored)</t>
  </si>
  <si>
    <t>UtlTelemetryAdapter</t>
  </si>
  <si>
    <t>View Utilities</t>
  </si>
  <si>
    <t>Internet Intelligence Upstream</t>
  </si>
  <si>
    <t>AVAILABLE (Upstream Sensor Fabric Linked)</t>
  </si>
  <si>
    <t>UtlInternetIntelAdapter</t>
  </si>
  <si>
    <t>View Intel Control</t>
  </si>
  <si>
    <t>Total Production Utilities</t>
  </si>
  <si>
    <t>P-Utilities Registry</t>
  </si>
  <si>
    <t>Windows Widget Discoveries</t>
  </si>
  <si>
    <t>C-Widgets Registry</t>
  </si>
  <si>
    <t>View Widgets</t>
  </si>
  <si>
    <t>Total Executable Test Cases</t>
  </si>
  <si>
    <t>C-TestCases Sheet</t>
  </si>
  <si>
    <t>View Test Cases</t>
  </si>
  <si>
    <t>Tests Passed (100% Rate)</t>
  </si>
  <si>
    <t>C-TestCases Status</t>
  </si>
  <si>
    <t>Verify Tests</t>
  </si>
  <si>
    <t>Project Intelligence Opportunities</t>
  </si>
  <si>
    <t>View Growth Opps</t>
  </si>
  <si>
    <t>Approved Growth Tasks</t>
  </si>
  <si>
    <t>View Approved Opps</t>
  </si>
  <si>
    <t>Open P0 Work Tasks</t>
  </si>
  <si>
    <t>P-Work Action Queue</t>
  </si>
  <si>
    <t>Open Work Queue</t>
  </si>
  <si>
    <t>Open P1 Work Tasks</t>
  </si>
  <si>
    <t>Pending Human Reviews</t>
  </si>
  <si>
    <t>0 (All 47 Approved)</t>
  </si>
  <si>
    <t>C-Reviews Matrix</t>
  </si>
  <si>
    <t>View Reviews</t>
  </si>
  <si>
    <t>Expansion Pipeline Backlog</t>
  </si>
  <si>
    <t>C-Candidates Pipeline</t>
  </si>
  <si>
    <t>View Candidates</t>
  </si>
  <si>
    <t>Competitors Tracked</t>
  </si>
  <si>
    <t>C-Competitors Registry</t>
  </si>
  <si>
    <t>View Competitors</t>
  </si>
  <si>
    <t>Search Queries Monitored</t>
  </si>
  <si>
    <t>C-SearchIntel Registry</t>
  </si>
  <si>
    <t>View Search Intel</t>
  </si>
  <si>
    <t>Active AG Conversation ID</t>
  </si>
  <si>
    <t>4ab9eb3a-c885-41dd-a79e-c88088d26811</t>
  </si>
  <si>
    <t>P-Sessions Registry</t>
  </si>
  <si>
    <t>View Sessions</t>
  </si>
  <si>
    <t>GitHub Repository</t>
  </si>
  <si>
    <t>https://github.com/devmallik4321/utl-tools</t>
  </si>
  <si>
    <t>GitHub Remote</t>
  </si>
  <si>
    <t>Open GitHub</t>
  </si>
  <si>
    <t>Vercel Project ID</t>
  </si>
  <si>
    <t>prj_U9CXugQfUbT5IAAttCWIQjqsXBJx (utl-tools)</t>
  </si>
  <si>
    <t>Vercel Dashboard</t>
  </si>
  <si>
    <t>Open Vercel</t>
  </si>
  <si>
    <t>Production URL</t>
  </si>
  <si>
    <t>https://utl.tools (HTTP 200 OK)</t>
  </si>
  <si>
    <t>Vercel Live Edge</t>
  </si>
  <si>
    <t>Open Site</t>
  </si>
  <si>
    <t>WWW Subdomain URL</t>
  </si>
  <si>
    <t>https://www.utl.tools (HTTP 200 OK)</t>
  </si>
  <si>
    <t>Open WWW Site</t>
  </si>
  <si>
    <t>Primary Control Artifact</t>
  </si>
  <si>
    <t>control/UTL-CONTROL-CENTER.xlsx</t>
  </si>
  <si>
    <t>Canonical Master</t>
  </si>
  <si>
    <t>Return to Index</t>
  </si>
  <si>
    <t>Internet Sensor Fabric Control</t>
  </si>
  <si>
    <t>control/INTERNET-INTELLIGENCE-CONTROL-CENTER.xlsx</t>
  </si>
  <si>
    <t>Sensor Fabric Master</t>
  </si>
  <si>
    <t>View Intelligence Control</t>
  </si>
  <si>
    <t>Last Verified Build</t>
  </si>
  <si>
    <t>Next.js 14 SSG (92 Static Routes Pre-rendered)</t>
  </si>
  <si>
    <t>Build Task Complete</t>
  </si>
  <si>
    <t>View Releases</t>
  </si>
  <si>
    <t>UTL.tools — Canonical Project Charter</t>
  </si>
  <si>
    <t>Permanent architectural tenets, mission constraints, and maintenance governance.</t>
  </si>
  <si>
    <t>Section</t>
  </si>
  <si>
    <t>Principle / Standard</t>
  </si>
  <si>
    <t>Operational Directive</t>
  </si>
  <si>
    <t>Core Mission</t>
  </si>
  <si>
    <t>The Digital Toolbox</t>
  </si>
  <si>
    <t>Build a permanent, evergreen library of simple, fast, useful online utilities that solve real everyday problems immediately.</t>
  </si>
  <si>
    <t>Non-Goal 1</t>
  </si>
  <si>
    <t>Not a SaaS Dashboard</t>
  </si>
  <si>
    <t>No compulsory user logins, no subscription tiers, no paywalled features, and no credit card capture forms.</t>
  </si>
  <si>
    <t>Non-Goal 2</t>
  </si>
  <si>
    <t>Not an AI Product</t>
  </si>
  <si>
    <t>Utilities must be deterministic, transparent, and client-side. AI is used only for prompt structuring and token estimation utilities.</t>
  </si>
  <si>
    <t>Non-Goal 3</t>
  </si>
  <si>
    <t>Not an Enterprise App</t>
  </si>
  <si>
    <t>No complex multi-tenant backend infrastructure or bloated microservices. Low maintenance over complex architecture.</t>
  </si>
  <si>
    <t>Tenet 1</t>
  </si>
  <si>
    <t>Boring but Extremely Useful</t>
  </si>
  <si>
    <t>Prioritize utilities that users need regularly (formatters, converters, calculators, generators, diagnostic tools).</t>
  </si>
  <si>
    <t>Tenet 2</t>
  </si>
  <si>
    <t>Simple over Complicated</t>
  </si>
  <si>
    <t>Intuitive interfaces with zero visual excess. The utility is immediately usable upon page load.</t>
  </si>
  <si>
    <t>Tenet 3</t>
  </si>
  <si>
    <t>Client-Side First</t>
  </si>
  <si>
    <t>Processing occurs 100% locally in browser memory via standard Web APIs. Zero data is transmitted to or logged on remote servers.</t>
  </si>
  <si>
    <t>Tenet 4</t>
  </si>
  <si>
    <t>Search-Destination Complete</t>
  </si>
  <si>
    <t>Every utility page is an independent landing asset with clear purpose, result interpretation, guidance, and transparent limitations.</t>
  </si>
  <si>
    <t>Tenet 5</t>
  </si>
  <si>
    <t>Zero Maintenance Fragility</t>
  </si>
  <si>
    <t>Pure static generation (SSG) with sub-100ms load times and full offline execution resilience.</t>
  </si>
  <si>
    <t>Tenet 6</t>
  </si>
  <si>
    <t>Hosting Portability</t>
  </si>
  <si>
    <t>Zero vendor lock-in. Capable of instant deployment to Vercel, Cloudflare Pages, AWS S3/CloudFront, or self-hosted Nginx/Docker VPS.</t>
  </si>
  <si>
    <t>Maintenance Policy</t>
  </si>
  <si>
    <t>Controlled Maintenance Mode</t>
  </si>
  <si>
    <t>Permitted: security fixes, browser compatibility, factual corrections, performance fixes, and Control Center-approved items. Speculative features frozen.</t>
  </si>
  <si>
    <t>P-Utilities — Production Utility Master Table (47 Total)</t>
  </si>
  <si>
    <t>utility_id</t>
  </si>
  <si>
    <t>utility_name</t>
  </si>
  <si>
    <t>category</t>
  </si>
  <si>
    <t>production_url</t>
  </si>
  <si>
    <t>development_url</t>
  </si>
  <si>
    <t>version</t>
  </si>
  <si>
    <t>status</t>
  </si>
  <si>
    <t>search_intent</t>
  </si>
  <si>
    <t>SEO_status</t>
  </si>
  <si>
    <t>UX_status</t>
  </si>
  <si>
    <t>accuracy_status</t>
  </si>
  <si>
    <t>trust_status</t>
  </si>
  <si>
    <t>completeness</t>
  </si>
  <si>
    <t>confidence</t>
  </si>
  <si>
    <t>last_reviewed</t>
  </si>
  <si>
    <t>open_tasks</t>
  </si>
  <si>
    <t>open_tests</t>
  </si>
  <si>
    <t>review_status</t>
  </si>
  <si>
    <t>next_action</t>
  </si>
  <si>
    <t>details_link</t>
  </si>
  <si>
    <t>random-number-generator</t>
  </si>
  <si>
    <t>Random Number Generator</t>
  </si>
  <si>
    <t>fun</t>
  </si>
  <si>
    <t>https://utl.tools/tools/random-number-generator</t>
  </si>
  <si>
    <t>http://localhost:3000/tools/random-number-generator</t>
  </si>
  <si>
    <t>1.2.0</t>
  </si>
  <si>
    <t>PRODUCTION</t>
  </si>
  <si>
    <t>Quickly generate one or more random numbers within a specific minimum and maximum range for drawings, games, or statistical sampling.</t>
  </si>
  <si>
    <t>PASS</t>
  </si>
  <si>
    <t>100%</t>
  </si>
  <si>
    <t>HIGH</t>
  </si>
  <si>
    <t>2026-08-25</t>
  </si>
  <si>
    <t>APPROVED</t>
  </si>
  <si>
    <t>Maintain evergreen state; observe live search traffic &amp; GA4 telemetry</t>
  </si>
  <si>
    <t>View Full Review ➡️</t>
  </si>
  <si>
    <t>spin-wheel</t>
  </si>
  <si>
    <t>Spin the Wheel</t>
  </si>
  <si>
    <t>https://utl.tools/tools/spin-wheel</t>
  </si>
  <si>
    <t>http://localhost:3000/tools/spin-wheel</t>
  </si>
  <si>
    <t>Enter custom options onto a virtual wheel, trigger a physics-based spin animation, and obtain a fair, indisputable winner.</t>
  </si>
  <si>
    <t>coin-flip</t>
  </si>
  <si>
    <t>Coin Flip Simulator</t>
  </si>
  <si>
    <t>https://utl.tools/tools/coin-flip</t>
  </si>
  <si>
    <t>http://localhost:3000/tools/coin-flip</t>
  </si>
  <si>
    <t>Simulate a fair coin toss to resolve a dispute, determine who goes first, or test the Law of Large Numbers across multiple flips.</t>
  </si>
  <si>
    <t>dice-roller</t>
  </si>
  <si>
    <t>Dice Roller (D&amp;D / RPG)</t>
  </si>
  <si>
    <t>https://utl.tools/tools/dice-roller</t>
  </si>
  <si>
    <t>http://localhost:3000/tools/dice-roller</t>
  </si>
  <si>
    <t>Roll specific dice combinations (e.g. 2d6+3, 1d20+5) and receive instant math totals with critical success/fumble highlights.</t>
  </si>
  <si>
    <t>random-picker</t>
  </si>
  <si>
    <t>Random Name / Item Picker</t>
  </si>
  <si>
    <t>https://utl.tools/tools/random-picker</t>
  </si>
  <si>
    <t>http://localhost:3000/tools/random-picker</t>
  </si>
  <si>
    <t>Paste a raw list of names or entries, choose the number of winners, and execute a fair drawing without duplicate entries.</t>
  </si>
  <si>
    <t>password-generator</t>
  </si>
  <si>
    <t>Strong Password Generator</t>
  </si>
  <si>
    <t>https://utl.tools/tools/password-generator</t>
  </si>
  <si>
    <t>http://localhost:3000/tools/password-generator</t>
  </si>
  <si>
    <t>Generate a strong, uncrackable password that satisfies specific corporate or website complexity rules (symbols, numbers, uppercase) with 1-click copy.</t>
  </si>
  <si>
    <t>username-generator</t>
  </si>
  <si>
    <t>Username Generator</t>
  </si>
  <si>
    <t>https://utl.tools/tools/username-generator</t>
  </si>
  <si>
    <t>http://localhost:3000/tools/username-generator</t>
  </si>
  <si>
    <t>Discover unique, theme-based online handles across gaming, tech, clean, and creative styles with custom seed keywords.</t>
  </si>
  <si>
    <t>my-ip</t>
  </si>
  <si>
    <t>What is My IP Address?</t>
  </si>
  <si>
    <t>network</t>
  </si>
  <si>
    <t>https://utl.tools/tools/my-ip</t>
  </si>
  <si>
    <t>http://localhost:3000/tools/my-ip</t>
  </si>
  <si>
    <t>Identify public IPv4/IPv6 address, internet provider name, and approximate geographical routing point with 1-click clipboard copy.</t>
  </si>
  <si>
    <t>browser-info</t>
  </si>
  <si>
    <t>Browser &amp; System Info</t>
  </si>
  <si>
    <t>https://utl.tools/tools/browser-info</t>
  </si>
  <si>
    <t>http://localhost:3000/tools/browser-info</t>
  </si>
  <si>
    <t>View OS version, browser build, CPU core count, GPU model, screen color depth, and cookie support in one unified summary with markdown export.</t>
  </si>
  <si>
    <t>screen-resolution</t>
  </si>
  <si>
    <t>Screen Resolution &amp; Viewport Checker</t>
  </si>
  <si>
    <t>https://utl.tools/tools/screen-resolution</t>
  </si>
  <si>
    <t>http://localhost:3000/tools/screen-resolution</t>
  </si>
  <si>
    <t>Check monitor pixel dimensions, current browser window size, Retina scaling factor (DPR), and aspect ratio live during window resizing.</t>
  </si>
  <si>
    <t>ping-test</t>
  </si>
  <si>
    <t>Ping &amp; Latency Test</t>
  </si>
  <si>
    <t>https://utl.tools/tools/ping-test</t>
  </si>
  <si>
    <t>http://localhost:3000/tools/ping-test</t>
  </si>
  <si>
    <t>Measure precise round-trip time (RTT) in milliseconds to major global CDNs and evaluate network stability for gaming and video meetings.</t>
  </si>
  <si>
    <t>dns-lookup</t>
  </si>
  <si>
    <t>DNS Records Lookup</t>
  </si>
  <si>
    <t>https://utl.tools/tools/dns-lookup</t>
  </si>
  <si>
    <t>http://localhost:3000/tools/dns-lookup</t>
  </si>
  <si>
    <t>Query authoritative DNS records for a domain across A, AAAA, MX, TXT, NS, and CNAME types with TTL values.</t>
  </si>
  <si>
    <t>user-agent-checker</t>
  </si>
  <si>
    <t>User Agent Parser &amp; Checker</t>
  </si>
  <si>
    <t>https://utl.tools/tools/user-agent-checker</t>
  </si>
  <si>
    <t>http://localhost:3000/tools/user-agent-checker</t>
  </si>
  <si>
    <t>Break down an arbitrary User-Agent string into structured components: Browser Name, Version, Engine, Operating System, and Device Family.</t>
  </si>
  <si>
    <t>json-formatter</t>
  </si>
  <si>
    <t>JSON Formatter &amp; Beautifier</t>
  </si>
  <si>
    <t>developer</t>
  </si>
  <si>
    <t>https://utl.tools/tools/json-formatter</t>
  </si>
  <si>
    <t>http://localhost:3000/tools/json-formatter</t>
  </si>
  <si>
    <t>Paste raw JSON text or upload a JSON file, apply clean indentation (2/4 spaces or tabs), validate syntax, and copy or download formatted output.</t>
  </si>
  <si>
    <t>json-validator</t>
  </si>
  <si>
    <t>JSON Validator &amp; Linter</t>
  </si>
  <si>
    <t>https://utl.tools/tools/json-validator</t>
  </si>
  <si>
    <t>http://localhost:3000/tools/json-validator</t>
  </si>
  <si>
    <t>Validate JSON compliance in real time and pinpoint exact syntax error messages with automated one-click repair for common issues.</t>
  </si>
  <si>
    <t>base64-encoder</t>
  </si>
  <si>
    <t>Base64 Encoder (Text &amp; Files)</t>
  </si>
  <si>
    <t>https://utl.tools/tools/base64-encoder</t>
  </si>
  <si>
    <t>http://localhost:3000/tools/base64-encoder</t>
  </si>
  <si>
    <t>Encode text, emojis, or uploaded image files into Base64 format or Data URIs with 1-click clipboard copy.</t>
  </si>
  <si>
    <t>base64-decoder</t>
  </si>
  <si>
    <t>Base64 Decoder (Text &amp; Files)</t>
  </si>
  <si>
    <t>https://utl.tools/tools/base64-decoder</t>
  </si>
  <si>
    <t>http://localhost:3000/tools/base64-decoder</t>
  </si>
  <si>
    <t>Paste a Base64 string or Data URI, decode it back into plain UTF-8 text or preview embedded PNG/JPG/SVG images immediately.</t>
  </si>
  <si>
    <t>uuid-generator</t>
  </si>
  <si>
    <t>UUID / GUID Generator</t>
  </si>
  <si>
    <t>https://utl.tools/tools/uuid-generator</t>
  </si>
  <si>
    <t>http://localhost:3000/tools/uuid-generator</t>
  </si>
  <si>
    <t>Generate single or bulk (up to 500) RFC 4122 compliant v4/v1 UUIDs with custom formatting (hyphens, uppercase, braces) and 1-click export.</t>
  </si>
  <si>
    <t>timestamp-converter</t>
  </si>
  <si>
    <t>Unix Timestamp Converter</t>
  </si>
  <si>
    <t>https://utl.tools/tools/timestamp-converter</t>
  </si>
  <si>
    <t>http://localhost:3000/tools/timestamp-converter</t>
  </si>
  <si>
    <t>Convert a Unix timestamp (10-digit seconds or 13-digit milliseconds) to UTC, local time, and relative time, or convert a human calendar date to an epoch timestamp.</t>
  </si>
  <si>
    <t>url-encoder</t>
  </si>
  <si>
    <t>URL / URI Encoder</t>
  </si>
  <si>
    <t>https://utl.tools/tools/url-encoder</t>
  </si>
  <si>
    <t>http://localhost:3000/tools/url-encoder</t>
  </si>
  <si>
    <t>Convert special characters and parameters into safe `%XX` percent-encoded format for HTTP requests and tracking links.</t>
  </si>
  <si>
    <t>url-decoder</t>
  </si>
  <si>
    <t>URL / URI Decoder &amp; Query Parser</t>
  </si>
  <si>
    <t>https://utl.tools/tools/url-decoder</t>
  </si>
  <si>
    <t>http://localhost:3000/tools/url-decoder</t>
  </si>
  <si>
    <t>Convert percent-encoded `%20`, `%26`, and UTF-8 escape sequences back into clean text and inspect query parameters in a table.</t>
  </si>
  <si>
    <t>qr-code-generator</t>
  </si>
  <si>
    <t>QR Code Generator</t>
  </si>
  <si>
    <t>business</t>
  </si>
  <si>
    <t>https://utl.tools/tools/qr-code-generator</t>
  </si>
  <si>
    <t>http://localhost:3000/tools/qr-code-generator</t>
  </si>
  <si>
    <t>Generate static QR codes for websites, guest WiFi credentials, contact cards, or text and download in high-resolution PNG for printing.</t>
  </si>
  <si>
    <t>email-signature-generator</t>
  </si>
  <si>
    <t>Email Signature Generator</t>
  </si>
  <si>
    <t>https://utl.tools/tools/email-signature-generator</t>
  </si>
  <si>
    <t>http://localhost:3000/tools/email-signature-generator</t>
  </si>
  <si>
    <t>Enter contact details, job title, avatar photo, and brand color to generate a cross-client compatible HTML signature and paste directly into email settings.</t>
  </si>
  <si>
    <t>business-name-generator</t>
  </si>
  <si>
    <t>Business &amp; Startup Name Generator</t>
  </si>
  <si>
    <t>https://utl.tools/tools/business-name-generator</t>
  </si>
  <si>
    <t>http://localhost:3000/tools/business-name-generator</t>
  </si>
  <si>
    <t>Input a seed concept (e.g. 'Pay', 'Cloud', 'Flow') and generate categorized name ideas across SaaS, Modern, Corporate, and Creative styles.</t>
  </si>
  <si>
    <t>invoice-generator</t>
  </si>
  <si>
    <t>Free Online Invoice Generator</t>
  </si>
  <si>
    <t>https://utl.tools/tools/invoice-generator</t>
  </si>
  <si>
    <t>http://localhost:3000/tools/invoice-generator</t>
  </si>
  <si>
    <t>Fill in client details, add itemized billable rows, apply tax/discounts, and export a clean PDF invoice with zero watermarks or registration walls.</t>
  </si>
  <si>
    <t>percentage-calculator</t>
  </si>
  <si>
    <t>Percentage Calculator</t>
  </si>
  <si>
    <t>finance</t>
  </si>
  <si>
    <t>https://utl.tools/tools/percentage-calculator</t>
  </si>
  <si>
    <t>http://localhost:3000/tools/percentage-calculator</t>
  </si>
  <si>
    <t>Instantly calculate percentage of a number, percentage change from X to Y, or apply percentage adjustments with clear formula steps.</t>
  </si>
  <si>
    <t>compound-interest-calculator</t>
  </si>
  <si>
    <t>Compound Interest Calculator</t>
  </si>
  <si>
    <t>https://utl.tools/tools/compound-interest-calculator</t>
  </si>
  <si>
    <t>http://localhost:3000/tools/compound-interest-calculator</t>
  </si>
  <si>
    <t>Input starting balance, monthly deposit, expected interest rate, and years to compute total future portfolio balance and total interest earned.</t>
  </si>
  <si>
    <t>loan-calculator</t>
  </si>
  <si>
    <t>Loan &amp; Mortgage Calculator</t>
  </si>
  <si>
    <t>https://utl.tools/tools/loan-calculator</t>
  </si>
  <si>
    <t>http://localhost:3000/tools/loan-calculator</t>
  </si>
  <si>
    <t>Input loan amount, annual interest rate, and term length in years to calculate monthly payments and view year-by-year amortization.</t>
  </si>
  <si>
    <t>discount-calculator</t>
  </si>
  <si>
    <t>Discount &amp; Sale Price Calculator</t>
  </si>
  <si>
    <t>https://utl.tools/tools/discount-calculator</t>
  </si>
  <si>
    <t>http://localhost:3000/tools/discount-calculator</t>
  </si>
  <si>
    <t>Enter original price, discount percentage, secondary coupon %, and sales tax % to determine final checkout price and total dollars saved.</t>
  </si>
  <si>
    <t>bmi-calculator</t>
  </si>
  <si>
    <t>BMI Calculator (Body Mass Index)</t>
  </si>
  <si>
    <t>health</t>
  </si>
  <si>
    <t>https://utl.tools/tools/bmi-calculator</t>
  </si>
  <si>
    <t>http://localhost:3000/tools/bmi-calculator</t>
  </si>
  <si>
    <t>Input height and weight (in cm/kg or ft/lbs) to calculate BMI score, view the WHO category gauge, and check healthy target weight boundaries.</t>
  </si>
  <si>
    <t>age-calculator</t>
  </si>
  <si>
    <t>Chronological Age Calculator</t>
  </si>
  <si>
    <t>https://utl.tools/tools/age-calculator</t>
  </si>
  <si>
    <t>http://localhost:3000/tools/age-calculator</t>
  </si>
  <si>
    <t>Select date of birth and target date to compute exact age breakdown, day of week born, and days remaining until next birthday.</t>
  </si>
  <si>
    <t>water-intake-calculator</t>
  </si>
  <si>
    <t>Daily Water Intake Calculator</t>
  </si>
  <si>
    <t>https://utl.tools/tools/water-intake-calculator</t>
  </si>
  <si>
    <t>http://localhost:3000/tools/water-intake-calculator</t>
  </si>
  <si>
    <t>Input body weight, daily workout minutes, and climate to receive target hydration in Liters, Milliliters, Ounces, and 250ml glasses.</t>
  </si>
  <si>
    <t>word-counter</t>
  </si>
  <si>
    <t>Word &amp; Character Counter</t>
  </si>
  <si>
    <t>education</t>
  </si>
  <si>
    <t>https://utl.tools/tools/word-counter</t>
  </si>
  <si>
    <t>http://localhost:3000/tools/word-counter</t>
  </si>
  <si>
    <t>Paste text to view instant word count, character count (with/without spaces), sentence count, reading duration, and top recurring keyword frequencies.</t>
  </si>
  <si>
    <t>gpa-calculator</t>
  </si>
  <si>
    <t>College &amp; High School GPA Calculator</t>
  </si>
  <si>
    <t>https://utl.tools/tools/gpa-calculator</t>
  </si>
  <si>
    <t>http://localhost:3000/tools/gpa-calculator</t>
  </si>
  <si>
    <t>Input course grades (A, B+, C) and credit hours to compute unweighted and weighted GPA on the standard 4.0 scale.</t>
  </si>
  <si>
    <t>color-converter</t>
  </si>
  <si>
    <t>Color Code Converter (HEX / RGB / HSL / CSS)</t>
  </si>
  <si>
    <t>creative</t>
  </si>
  <si>
    <t>https://utl.tools/tools/color-converter</t>
  </si>
  <si>
    <t>http://localhost:3000/tools/color-converter</t>
  </si>
  <si>
    <t>Convert any color across HEX (#RRGGBB), RGB, RGBA, HSL, HSLA, and CSS variable syntax with 1-click clipboard copy.</t>
  </si>
  <si>
    <t>aspect-ratio-calculator</t>
  </si>
  <si>
    <t>Aspect Ratio Calculator</t>
  </si>
  <si>
    <t>https://utl.tools/tools/aspect-ratio-calculator</t>
  </si>
  <si>
    <t>http://localhost:3000/tools/aspect-ratio-calculator</t>
  </si>
  <si>
    <t>Select a standard ratio preset (16:9, 9:16, 4:3, 1:1) or enter custom dimensions, then change width or height to get proportional target pixels.</t>
  </si>
  <si>
    <t>token-counter</t>
  </si>
  <si>
    <t>AI Token Counter &amp; Cost Estimator</t>
  </si>
  <si>
    <t>ai</t>
  </si>
  <si>
    <t>https://utl.tools/tools/token-counter</t>
  </si>
  <si>
    <t>http://localhost:3000/tools/token-counter</t>
  </si>
  <si>
    <t>Paste text, JSON, or code to get estimated token count, character-to-token ratio, and cost comparison across OpenAI GPT-4o, Claude 3.5, and Google Gemini.</t>
  </si>
  <si>
    <t>prompt-enhancer</t>
  </si>
  <si>
    <t>AI Prompt Cleaner &amp; Enhancer</t>
  </si>
  <si>
    <t>https://utl.tools/tools/prompt-enhancer</t>
  </si>
  <si>
    <t>http://localhost:3000/tools/prompt-enhancer</t>
  </si>
  <si>
    <t>Convert an informal prompt goal into a production-grade structured prompt with Role, Task, Constraints, and Output Format blocks.</t>
  </si>
  <si>
    <t>talking-alarm-clock</t>
  </si>
  <si>
    <t>Talking Alarm Clock &amp; Spoken Time</t>
  </si>
  <si>
    <t>https://utl.tools/tools/talking-alarm-clock</t>
  </si>
  <si>
    <t>http://localhost:3000/tools/talking-alarm-clock</t>
  </si>
  <si>
    <t>Searchers looking for an online clock that announces the time out loud and triggers alarms through browser audio.</t>
  </si>
  <si>
    <t>diff-checker</t>
  </si>
  <si>
    <t>Diff Checker &amp; Text Comparator</t>
  </si>
  <si>
    <t>https://utl.tools/tools/diff-checker</t>
  </si>
  <si>
    <t>http://localhost:3000/tools/diff-checker</t>
  </si>
  <si>
    <t>Users looking to paste two versions of text or code and instantly see highlighted differences with copyable diff patches.</t>
  </si>
  <si>
    <t>markdown-previewer</t>
  </si>
  <si>
    <t>Markdown to HTML &amp; Live Previewer</t>
  </si>
  <si>
    <t>https://utl.tools/tools/markdown-previewer</t>
  </si>
  <si>
    <t>http://localhost:3000/tools/markdown-previewer</t>
  </si>
  <si>
    <t>Searchers who need to paste Markdown and get clean, sanitized HTML markup with instant visual verification.</t>
  </si>
  <si>
    <t>csv-json-converter</t>
  </si>
  <si>
    <t>CSV to JSON &amp; JSON to CSV Converter</t>
  </si>
  <si>
    <t>https://utl.tools/tools/csv-json-converter</t>
  </si>
  <si>
    <t>http://localhost:3000/tools/csv-json-converter</t>
  </si>
  <si>
    <t>Users wanting to paste CSV rows and download or copy structured JSON arrays, or convert JSON back to CSV.</t>
  </si>
  <si>
    <t>unit-converter</t>
  </si>
  <si>
    <t>Unit Converter (Metric &amp; Imperial)</t>
  </si>
  <si>
    <t>https://utl.tools/tools/unit-converter</t>
  </si>
  <si>
    <t>http://localhost:3000/tools/unit-converter</t>
  </si>
  <si>
    <t>Searchers wanting to convert measurement values across units with instant live computation.</t>
  </si>
  <si>
    <t>lorem-ipsum-generator</t>
  </si>
  <si>
    <t>Lorem Ipsum Generator &amp; Dummy Text</t>
  </si>
  <si>
    <t>https://utl.tools/tools/lorem-ipsum-generator</t>
  </si>
  <si>
    <t>http://localhost:3000/tools/lorem-ipsum-generator</t>
  </si>
  <si>
    <t>Users looking to generate dummy Latin placeholder text with specific paragraph or word counts.</t>
  </si>
  <si>
    <t>case-converter</t>
  </si>
  <si>
    <t>Case Converter (camelCase, snake_case, kebab-case)</t>
  </si>
  <si>
    <t>https://utl.tools/tools/case-converter</t>
  </si>
  <si>
    <t>http://localhost:3000/tools/case-converter</t>
  </si>
  <si>
    <t>Searchers looking to paste a string and immediately see it converted across all major developer casing conventions.</t>
  </si>
  <si>
    <t>hash-generator</t>
  </si>
  <si>
    <t>Cryptographic Hash Generator (SHA-256, SHA-512, SHA-1)</t>
  </si>
  <si>
    <t>https://utl.tools/tools/hash-generator</t>
  </si>
  <si>
    <t>http://localhost:3000/tools/hash-generator</t>
  </si>
  <si>
    <t>Users wanting to paste text or secrets and generate SHA-256, SHA-512, SHA-384, or SHA-1 hashes client-side.</t>
  </si>
  <si>
    <t>stopwatch-timer</t>
  </si>
  <si>
    <t>Online Stopwatch &amp; Countdown Timer</t>
  </si>
  <si>
    <t>https://utl.tools/tools/stopwatch-timer</t>
  </si>
  <si>
    <t>http://localhost:3000/tools/stopwatch-timer</t>
  </si>
  <si>
    <t>Searchers looking for a clean, distraction-free stopwatch and countdown alarm that runs in any web browser.</t>
  </si>
  <si>
    <t>P-Work — Actionable Work Queue &amp; Task State</t>
  </si>
  <si>
    <t>task_id</t>
  </si>
  <si>
    <t>context_id</t>
  </si>
  <si>
    <t>task</t>
  </si>
  <si>
    <t>priority</t>
  </si>
  <si>
    <t>assigned_agent</t>
  </si>
  <si>
    <t>created_date</t>
  </si>
  <si>
    <t>updated_date</t>
  </si>
  <si>
    <t>acceptance_criteria</t>
  </si>
  <si>
    <t>test_case_ids</t>
  </si>
  <si>
    <t>evidence_link</t>
  </si>
  <si>
    <t>source_link</t>
  </si>
  <si>
    <t>human_comment</t>
  </si>
  <si>
    <t>agent_comment</t>
  </si>
  <si>
    <t>result</t>
  </si>
  <si>
    <t>TSK-0001</t>
  </si>
  <si>
    <t>ALL_38</t>
  </si>
  <si>
    <t>CTX-001</t>
  </si>
  <si>
    <t>Implement Phase 1 Foundation: 38 production utilities with Next.js web shell</t>
  </si>
  <si>
    <t>P0</t>
  </si>
  <si>
    <t>ACCEPTED</t>
  </si>
  <si>
    <t>Antigravity CLI</t>
  </si>
  <si>
    <t>2026-08-24</t>
  </si>
  <si>
    <t>All 38 tools interactive, client-side, with SSG build</t>
  </si>
  <si>
    <t>TC-0001..TC-0038</t>
  </si>
  <si>
    <t>Task 229 Log</t>
  </si>
  <si>
    <t>apps/web-shell/</t>
  </si>
  <si>
    <t>Approved V1.0 baseline</t>
  </si>
  <si>
    <t>Completed initial batch with 0 build errors</t>
  </si>
  <si>
    <t>Proceed to V1.1 Value Expansion</t>
  </si>
  <si>
    <t>TSK-0002</t>
  </si>
  <si>
    <t>CTX-003</t>
  </si>
  <si>
    <t>Implement Version 1.1: Search Intent, Result Interpretation, Guidance, Limitations, and Trust Standards</t>
  </si>
  <si>
    <t>Rich Value Model across all 38 tools with 0 filler</t>
  </si>
  <si>
    <t>Task 279 Log</t>
  </si>
  <si>
    <t>registry/utilities.json</t>
  </si>
  <si>
    <t>Approved V1.1 expansion</t>
  </si>
  <si>
    <t>All 54 static routes compiled with zero errors</t>
  </si>
  <si>
    <t>Create Canonical Control Center</t>
  </si>
  <si>
    <t>TSK-0003</t>
  </si>
  <si>
    <t>CTX-002</t>
  </si>
  <si>
    <t>Verify Schema.org JSON-LD (SoftwareApplication + FAQPage + Breadcrumbs) across all routes</t>
  </si>
  <si>
    <t>Valid JSON-LD schema injected into static HTML heads</t>
  </si>
  <si>
    <t>tools/[slug]/page.tsx</t>
  </si>
  <si>
    <t>SEO Playbook</t>
  </si>
  <si>
    <t>Verified schema tags</t>
  </si>
  <si>
    <t>All 38 utilities inject valid structured data</t>
  </si>
  <si>
    <t>Monitor Google Search Console upon launch</t>
  </si>
  <si>
    <t>TSK-0004</t>
  </si>
  <si>
    <t>Implement Talking Alarm Clock with Web Speech Synthesis, repeat alarms, 12/24H mode &amp; Web Audio beeper</t>
  </si>
  <si>
    <t>Live 12H/24H clock, vocalize time, recurring alarms, audio fallback, background throttling note</t>
  </si>
  <si>
    <t>TC-0039</t>
  </si>
  <si>
    <t>TalkingAlarmClock.tsx</t>
  </si>
  <si>
    <t>tools/talking-alarm-clock</t>
  </si>
  <si>
    <t>Verified and approved</t>
  </si>
  <si>
    <t>100% client-side speech synthesis and audio beeps verified with background note</t>
  </si>
  <si>
    <t>Mark as Production Complete</t>
  </si>
  <si>
    <t>TSK-0005</t>
  </si>
  <si>
    <t>CTX-006</t>
  </si>
  <si>
    <t>Upgrade Random Name/Item Picker with clear editable list UI and sample presets</t>
  </si>
  <si>
    <t>Clear textarea, preset buttons, shuffle, winner count selection, confetti</t>
  </si>
  <si>
    <t>TC-0005</t>
  </si>
  <si>
    <t>RandomPicker.tsx</t>
  </si>
  <si>
    <t>tools/random-picker</t>
  </si>
  <si>
    <t>Enhanced editable list UI with 4 presets and clear feedback</t>
  </si>
  <si>
    <t>TSK-0006</t>
  </si>
  <si>
    <t>CTX-007</t>
  </si>
  <si>
    <t>Fix Netscape bug in Browser Info &amp; overhaul into 5 capability domains with reliability badges</t>
  </si>
  <si>
    <t>Detect Chrome, Edge, Safari, Firefox, OS, GPU, DPR, CPU, memory, Client Hints accurately</t>
  </si>
  <si>
    <t>TC-0010</t>
  </si>
  <si>
    <t>BrowserInfo.tsx</t>
  </si>
  <si>
    <t>tools/browser-info</t>
  </si>
  <si>
    <t>Structured capability groups with reliable vs inferred badges</t>
  </si>
  <si>
    <t>TSK-0007</t>
  </si>
  <si>
    <t>BATCH_P0</t>
  </si>
  <si>
    <t>Implement Top P0 Expansion Candidates (Diff Checker, Markdown, CSV/JSON, Unit, Lorem, Case, Hash, Stopwatch)</t>
  </si>
  <si>
    <t>8 new client-side utilities fully functional with Quality Standard layout</t>
  </si>
  <si>
    <t>TC-0040..TC-0047</t>
  </si>
  <si>
    <t>apps/web-shell/src/components/tools/</t>
  </si>
  <si>
    <t>Total production utilities increased from 38 to 47</t>
  </si>
  <si>
    <t>Deploy to Vercel / Production</t>
  </si>
  <si>
    <t>TSK-0008</t>
  </si>
  <si>
    <t>DEPLOY_V1</t>
  </si>
  <si>
    <t>CTX-010</t>
  </si>
  <si>
    <t>Deploy UTL.tools V1 to Vercel production edge with custom domains https://utl.tools</t>
  </si>
  <si>
    <t>Live at https://utl.tools and https://www.utl.tools with HTTP 200 OK responses</t>
  </si>
  <si>
    <t>TC-0001..TC-0047</t>
  </si>
  <si>
    <t>https://utl.tools</t>
  </si>
  <si>
    <t>Deployment dpl_FkypS4PW1rSYTNR715KnA9YNgBTJ</t>
  </si>
  <si>
    <t>Live and verified in production</t>
  </si>
  <si>
    <t>All 64 static routes live with HTTP 200 OK; SSL/TLS active; Vercel edge caching confirmed</t>
  </si>
  <si>
    <t>Transition to V1.2 Observability &amp; Polish</t>
  </si>
  <si>
    <t>TSK-0009</t>
  </si>
  <si>
    <t>V1.2_POLISH</t>
  </si>
  <si>
    <t>Integrate GA4 (G-H2G4BK9Y36), GSC readiness, intent discovery, semantic category accents, and ResultState</t>
  </si>
  <si>
    <t>Zero sensitive payload tracking; client navigation tracked; 100% SSG pass</t>
  </si>
  <si>
    <t>apps/web-shell/src/lib/analytics.ts</t>
  </si>
  <si>
    <t>Approved V1.2 Observability &amp; UX Polish</t>
  </si>
  <si>
    <t>GA4 + GSC ready; ResultState &amp; BrowserInfo overhauled; 64 routes pre-rendered with 0 errors</t>
  </si>
  <si>
    <t>Freeze for Maintenance Mode</t>
  </si>
  <si>
    <t>P-Research — Specialized Research Summaries &amp; Findings</t>
  </si>
  <si>
    <t>research_id</t>
  </si>
  <si>
    <t>date</t>
  </si>
  <si>
    <t>scope</t>
  </si>
  <si>
    <t>topic</t>
  </si>
  <si>
    <t>finding</t>
  </si>
  <si>
    <t>recommendation</t>
  </si>
  <si>
    <t>affected_utilities</t>
  </si>
  <si>
    <t>source_count</t>
  </si>
  <si>
    <t>report_link</t>
  </si>
  <si>
    <t>resulting_task_ids</t>
  </si>
  <si>
    <t>RES-0001</t>
  </si>
  <si>
    <t>Cryptography &amp; Security</t>
  </si>
  <si>
    <t>Web Crypto API vs Math.random() for Password &amp; RNG</t>
  </si>
  <si>
    <t>Math.random() is predictable PRNG; window.crypto.getRandomValues uses OS hardware entropy</t>
  </si>
  <si>
    <t>Mandate Web Crypto for all passwords, UUIDs, and dice rollers</t>
  </si>
  <si>
    <t>IMPLEMENTED</t>
  </si>
  <si>
    <t>password-generator, random-number-generator, uuid-generator, hash-generator</t>
  </si>
  <si>
    <t>GOVERNANCE.md</t>
  </si>
  <si>
    <t>RES-0002</t>
  </si>
  <si>
    <t>Network Latency Benchmarking</t>
  </si>
  <si>
    <t>HTTP Round-Trip Time vs ICMP Ping Metrics</t>
  </si>
  <si>
    <t>Browsers cannot send ICMP packets without root; HTTP ping measures TCP+TLS handshake latency</t>
  </si>
  <si>
    <t>Expose transparency note explaining HTTP application latency vs ICMP ping</t>
  </si>
  <si>
    <t>UTILITY-QUALITY-STANDARD.md</t>
  </si>
  <si>
    <t>RES-0003</t>
  </si>
  <si>
    <t>CTX-005</t>
  </si>
  <si>
    <t>Market Demand &amp; Expansion</t>
  </si>
  <si>
    <t>Evergreen Utilities Opportunity Pipeline (40 Candidates)</t>
  </si>
  <si>
    <t>High search demand exists for Diff Checker, Markdown Converter, CSV/JSON, Regex, Unit Converter</t>
  </si>
  <si>
    <t>Formulate prioritized P0-P3 pipeline and prepare for Phase 2 implementation</t>
  </si>
  <si>
    <t>ALL_CANDIDATES</t>
  </si>
  <si>
    <t>CANDIDATE-UTILITIES.md</t>
  </si>
  <si>
    <t>RES-0004</t>
  </si>
  <si>
    <t>Design System &amp; Usability</t>
  </si>
  <si>
    <t>Search Intent &amp; Result Interpretation Standards</t>
  </si>
  <si>
    <t>Raw numbers cause user confusion; adding thresholds (e.g. WHO brackets, crack time) increases utility</t>
  </si>
  <si>
    <t>Adopt 8-part search destination layout standard across all utility pages</t>
  </si>
  <si>
    <t>ALL_47</t>
  </si>
  <si>
    <t>RES-0005</t>
  </si>
  <si>
    <t>Browser Detection &amp; Fingerprinting</t>
  </si>
  <si>
    <t>User-Agent Freezing &amp; Client Hints (Sec-CH-UA)</t>
  </si>
  <si>
    <t>Modern browsers report legacy tokens (Netscape/Win10); UA Client Hints provide accurate platform versions</t>
  </si>
  <si>
    <t>Query navigator.userAgentData with fallback regex for Safari/Firefox</t>
  </si>
  <si>
    <t>browser-info, user-agent-checker</t>
  </si>
  <si>
    <t>RES-0006</t>
  </si>
  <si>
    <t>Observability &amp; Privacy Safeguards</t>
  </si>
  <si>
    <t>GA4 Client-Side Event Architecture without Payload Leakage</t>
  </si>
  <si>
    <t>Standard analytics scripts risk capturing sensitive query strings; strictly custom typed events prevent payload leaks</t>
  </si>
  <si>
    <t>Enforce strict parameter filtering on utility_view, utility_interaction, share, bookmark, search</t>
  </si>
  <si>
    <t>analytics.ts</t>
  </si>
  <si>
    <t>P-Releases — Release History &amp; Milestone Registry</t>
  </si>
  <si>
    <t>release_id</t>
  </si>
  <si>
    <t>utilities_changed</t>
  </si>
  <si>
    <t>tasks_completed</t>
  </si>
  <si>
    <t>tests_passed</t>
  </si>
  <si>
    <t>tests_failed</t>
  </si>
  <si>
    <t>human_acceptance</t>
  </si>
  <si>
    <t>build_status</t>
  </si>
  <si>
    <t>deployment_status</t>
  </si>
  <si>
    <t>release_notes_link</t>
  </si>
  <si>
    <t>REL-0001</t>
  </si>
  <si>
    <t>1.0.0</t>
  </si>
  <si>
    <t>Foundation Release: 38 Production Utilities + Next.js App Shell + Design System</t>
  </si>
  <si>
    <t>PASS (54 Static Pages)</t>
  </si>
  <si>
    <t>STAGED</t>
  </si>
  <si>
    <t>View Changelog ➡️</t>
  </si>
  <si>
    <t>REL-0002</t>
  </si>
  <si>
    <t>1.1.0</t>
  </si>
  <si>
    <t>Public Production Release: 47 Utilities + Value Expansion + Widget Discovery + Canonical Control Center</t>
  </si>
  <si>
    <t>PASS (64 Static Pages)</t>
  </si>
  <si>
    <t>LIVE</t>
  </si>
  <si>
    <t>REL-0003</t>
  </si>
  <si>
    <t>Observability &amp; UX Polish Release: GA4 (G-H2G4BK9Y36), GSC Setup, Intent Discovery, Semantic Themes, ResultState, Maintenance Freeze</t>
  </si>
  <si>
    <t>REL-0004</t>
  </si>
  <si>
    <t>1.3.0</t>
  </si>
  <si>
    <t>2026-09-15</t>
  </si>
  <si>
    <t>Phase 2 Expansion: Next Batch of P1 Candidates &amp; Traffic Intelligence</t>
  </si>
  <si>
    <t>PENDING</t>
  </si>
  <si>
    <t>PLANNED</t>
  </si>
  <si>
    <t>View Candidates ➡️</t>
  </si>
  <si>
    <t>P-Contexts — Standard Operating Agent Contexts</t>
  </si>
  <si>
    <t>context_name</t>
  </si>
  <si>
    <t>purpose</t>
  </si>
  <si>
    <t>prompt_file</t>
  </si>
  <si>
    <t>input_requirements</t>
  </si>
  <si>
    <t>output_requirements</t>
  </si>
  <si>
    <t>last_run</t>
  </si>
  <si>
    <t>last_result</t>
  </si>
  <si>
    <t>notes</t>
  </si>
  <si>
    <t>Utility Creator</t>
  </si>
  <si>
    <t>Build zero-dependency client-side interactive React components</t>
  </si>
  <si>
    <t>documentation/ADDING-UTILITIES.md</t>
  </si>
  <si>
    <t>Utility specification &amp; inputs/outputs</t>
  </si>
  <si>
    <t>Production TypeScript component &amp; tests</t>
  </si>
  <si>
    <t>ACTIVE</t>
  </si>
  <si>
    <t>Built 47 utilities with SSG</t>
  </si>
  <si>
    <t>Follows Static-First principle</t>
  </si>
  <si>
    <t>SEO Analyst</t>
  </si>
  <si>
    <t>Audit search intent, metadata, Schema.org JSON-LD, and semantic headings</t>
  </si>
  <si>
    <t>documentation/SEO-PLAYBOOK.md</t>
  </si>
  <si>
    <t>Target keywords &amp; search intent</t>
  </si>
  <si>
    <t>Structured data &amp; meta tags</t>
  </si>
  <si>
    <t>Validated JSON-LD schema across all 47 tools + GSC verified</t>
  </si>
  <si>
    <t>Zero keyword stuffing</t>
  </si>
  <si>
    <t>Utility Value Analyst</t>
  </si>
  <si>
    <t>Ensure comprehensive problem solving, result interpretation, and guidance</t>
  </si>
  <si>
    <t>documentation/UTILITY-QUALITY-STANDARD.md</t>
  </si>
  <si>
    <t>User problem &amp; output metrics</t>
  </si>
  <si>
    <t>Practical guidance &amp; interpretation blocks</t>
  </si>
  <si>
    <t>Completed V1.1 Value Expansion</t>
  </si>
  <si>
    <t>Mandatory 8-stage page standard</t>
  </si>
  <si>
    <t>CTX-004</t>
  </si>
  <si>
    <t>Competitor Analyst</t>
  </si>
  <si>
    <t>Audit alternative web tools to identify UX friction and missing features</t>
  </si>
  <si>
    <t>future/intelligence-agents/improvement-agent.md</t>
  </si>
  <si>
    <t>Competitor URLs &amp; features</t>
  </si>
  <si>
    <t>Friction gap report &amp; feature proposals</t>
  </si>
  <si>
    <t>Identified 40 candidate utilities &amp; 7 competitors</t>
  </si>
  <si>
    <t>Excludes bloated ad models</t>
  </si>
  <si>
    <t>Internet Demand Analyst</t>
  </si>
  <si>
    <t>Identify high-volume evergreen search terms and missing utilities</t>
  </si>
  <si>
    <t>future/intelligence-agents/discovery-agent.md</t>
  </si>
  <si>
    <t>Search queries &amp; trend signals</t>
  </si>
  <si>
    <t>Prioritized P0-P3 candidate list</t>
  </si>
  <si>
    <t>Generated CANDIDATE-UTILITIES.md</t>
  </si>
  <si>
    <t>High evergreen focus</t>
  </si>
  <si>
    <t>UX Analyst</t>
  </si>
  <si>
    <t>Optimize layout clarity, accessibility, responsive breakpoints, and contrast</t>
  </si>
  <si>
    <t>design-system/DESIGN-SYSTEM.md</t>
  </si>
  <si>
    <t>Component wireframes &amp; CSS tokens</t>
  </si>
  <si>
    <t>Light/Dark theme parity &amp; WCAG AA pass</t>
  </si>
  <si>
    <t>Intent Discovery + Category Themes added</t>
  </si>
  <si>
    <t>Google simplicity aesthetic</t>
  </si>
  <si>
    <t>Accuracy &amp; Trust Analyst</t>
  </si>
  <si>
    <t>Verify mathematical formulas, RFC compliance, and privacy sandboxing</t>
  </si>
  <si>
    <t>RFC specs &amp; math equations</t>
  </si>
  <si>
    <t>Formal verification notes &amp; trust card</t>
  </si>
  <si>
    <t>Verified client-side Web Crypto &amp; math + Precise privacy wording</t>
  </si>
  <si>
    <t>Zero server logging</t>
  </si>
  <si>
    <t>CTX-008</t>
  </si>
  <si>
    <t>Traffic &amp; Distribution Analyst</t>
  </si>
  <si>
    <t>Identify developer community distribution channels and backlink targets</t>
  </si>
  <si>
    <t>future/intelligence-agents/traffic-intelligence-agent.md</t>
  </si>
  <si>
    <t>Domain authority &amp; directories</t>
  </si>
  <si>
    <t>Launch playbook &amp; backlink directory</t>
  </si>
  <si>
    <t>Distribution strategy mapped; next activity: Traffic Review</t>
  </si>
  <si>
    <t>Pre-launch preparation</t>
  </si>
  <si>
    <t>CTX-009</t>
  </si>
  <si>
    <t>Growth &amp; Productivity Analyst</t>
  </si>
  <si>
    <t>Architect Phase 3 'My UTL' packs, workspaces, and pipelines</t>
  </si>
  <si>
    <t>future/productivity-platform/my-utl-specification.md</t>
  </si>
  <si>
    <t>Persona role mappings</t>
  </si>
  <si>
    <t>Productivity pack specifications</t>
  </si>
  <si>
    <t>Pack specifications complete</t>
  </si>
  <si>
    <t>Scheduled for Phase 3</t>
  </si>
  <si>
    <t>Publisher / Release Manager</t>
  </si>
  <si>
    <t>Execute Next.js SSG production build and deploy to hosting edge</t>
  </si>
  <si>
    <t>documentation/DEPLOYMENT.md</t>
  </si>
  <si>
    <t>Codebase &amp; registry changes</t>
  </si>
  <si>
    <t>Production deployment artifact</t>
  </si>
  <si>
    <t>Build Task 753 exited with code 0</t>
  </si>
  <si>
    <t>Zero compilation errors</t>
  </si>
  <si>
    <t>P-Sessions — Persistent Agent Session &amp; Environment Registry</t>
  </si>
  <si>
    <t>session_id</t>
  </si>
  <si>
    <t>agent</t>
  </si>
  <si>
    <t>platform</t>
  </si>
  <si>
    <t>conversation_id</t>
  </si>
  <si>
    <t>project</t>
  </si>
  <si>
    <t>git_commit</t>
  </si>
  <si>
    <t>github_remote</t>
  </si>
  <si>
    <t>local_dev_url</t>
  </si>
  <si>
    <t>vercel_project_id</t>
  </si>
  <si>
    <t>created</t>
  </si>
  <si>
    <t>last_used</t>
  </si>
  <si>
    <t>SES-0001</t>
  </si>
  <si>
    <t>Google DeepMind Advanced Agentic Coding</t>
  </si>
  <si>
    <t>UTL.tools</t>
  </si>
  <si>
    <t>40d58778d910793bdf51b2e8a15fc4b4ae022137</t>
  </si>
  <si>
    <t>https://github.com/devmallik4321/utl-tools.git</t>
  </si>
  <si>
    <t>http://localhost:3000</t>
  </si>
  <si>
    <t>prj_U9CXugQfUbT5IAAttCWIQjqsXBJx</t>
  </si>
  <si>
    <t>CTX-001..CTX-010</t>
  </si>
  <si>
    <t>MAINTENANCE_MODE</t>
  </si>
  <si>
    <t>Canonical master session for UTL.tools development, deployment, and V1.2 Observability &amp; UX Polish (Maintenance Mode Active).</t>
  </si>
  <si>
    <t>⬆️ Back to Parent: P-Utilities</t>
  </si>
  <si>
    <t>C-Reviews — Comprehensive 30-Column Operational Review Matrix (47 Total)</t>
  </si>
  <si>
    <t>url</t>
  </si>
  <si>
    <t>primary_purpose</t>
  </si>
  <si>
    <t>inputs</t>
  </si>
  <si>
    <t>outputs</t>
  </si>
  <si>
    <t>result_interpretation</t>
  </si>
  <si>
    <t>practical_guidance</t>
  </si>
  <si>
    <t>limitations</t>
  </si>
  <si>
    <t>privacy_behavior</t>
  </si>
  <si>
    <t>seo_title</t>
  </si>
  <si>
    <t>seo_description</t>
  </si>
  <si>
    <t>schema_status</t>
  </si>
  <si>
    <t>internal_link_status</t>
  </si>
  <si>
    <t>mobile_status</t>
  </si>
  <si>
    <t>desktop_status</t>
  </si>
  <si>
    <t>functionality_status</t>
  </si>
  <si>
    <t>visual_status</t>
  </si>
  <si>
    <t>required_change</t>
  </si>
  <si>
    <t>reviewer_status</t>
  </si>
  <si>
    <t>ag_action</t>
  </si>
  <si>
    <t>ag_result</t>
  </si>
  <si>
    <t>version_introduced</t>
  </si>
  <si>
    <t>Generate cryptographically secure or pseudo-random numbers within any custom range with sorting and uniqueness controls.</t>
  </si>
  <si>
    <t>User configured parameters</t>
  </si>
  <si>
    <t>Real-time computed results</t>
  </si>
  <si>
    <t>Generated numbers are sampled with uniform distribution across your specified range [Min, Max]. If 'Unique numbers' is enabled, every number in the batch is guaranteed to appear at most once.</t>
  </si>
  <si>
    <t>For raffles and giveaways, set Min to 1 and Max to the total number of participants. Use the 'Ascending' sort option to easily check against ticket lists. Use the Copy button to export results directly to spreadsheets.</t>
  </si>
  <si>
    <t>Uses local client-side pseudo-random hardware entropy (Web Crypto). While cryptographically robust for drawings, games, and tokens, it should not be used as an air-gapped hardware random number generator (TRNG) for high-assurance military cryptography.</t>
  </si>
  <si>
    <t>Your input is processed locally in your browser and is not sent to UTL servers.</t>
  </si>
  <si>
    <t>Random Number Generator (RNG) — Fast, Secure &amp; Unbiased Online Number Picker</t>
  </si>
  <si>
    <t>PASS (SoftwareApplication + FAQPage)</t>
  </si>
  <si>
    <t>Verified and approved for public release</t>
  </si>
  <si>
    <t>None</t>
  </si>
  <si>
    <t>Implemented, deployed, and verified live in Next.js 14 SSG on Vercel Edge with GA4 tracking</t>
  </si>
  <si>
    <t>Customizable decision wheel to pick random winners, make choices, select giveaways, and resolve contests.</t>
  </si>
  <si>
    <t>The winning slice is determined by the final landing position of the pointer at 0 radians after deceleration. Each slice occupies an equal angular segment (360° / N).</t>
  </si>
  <si>
    <t>Use 'Eliminate winner slice after spin' if running multi-round prize drawings so the same participant cannot win multiple times.</t>
  </si>
  <si>
    <t>Physics momentum deceleration is simulated on HTML5 canvas. All slices have equal probability weighting in standard mode.</t>
  </si>
  <si>
    <t>Spin the Wheel — Free Online Random Wheel Picker &amp; Decision Maker</t>
  </si>
  <si>
    <t>Flip a virtual 3D coin for quick heads-or-tails decisions with flip counter and probability statistics.</t>
  </si>
  <si>
    <t>Each flip represents an independent Bernoulli trial with theoretical p = 0.50. The summary dashboard shows cumulative empirical frequency versus theoretical probability.</t>
  </si>
  <si>
    <t>Use batch flipping (10 to 100 flips) for statistical simulations or classroom demonstrations showing how experimental probability converges to 50% over larger sample sizes.</t>
  </si>
  <si>
    <t>Individual coin tosses are statistically independent; past streaks of heads do not increase the likelihood of tails on subsequent flips (Gambler's Fallacy).</t>
  </si>
  <si>
    <t>Coin Flip Simulator — 3D Heads or Tails Online Toss</t>
  </si>
  <si>
    <t>Roll standard 6-sided dice or full tabletop RPG polyhedral dice (d4, d6, d8, d10, d12, d20, d100) with modifier math.</t>
  </si>
  <si>
    <t>Displays individual dice roll values, highlights Critical 20s (Natural 20) and Critical 1s (Fumbles), applies modifiers, and outputs the grand total.</t>
  </si>
  <si>
    <t>Select the die type (d4 through d100), adjust quantity, set your character's ability modifier (+3, -1), and roll. Results are logged in the roll history table for reference.</t>
  </si>
  <si>
    <t>Standard rolls assume uniform discrete probability on [1, Sides]. Advantage/Disadvantage mechanics are executed by rolling 2 dice and taking highest/lowest.</t>
  </si>
  <si>
    <t>Dice Roller — Virtual D&amp;D &amp; Polyhedral Dice (d4, d6, d8, d10, d12, d20, d100)</t>
  </si>
  <si>
    <t>Pick one or multiple random winners from any list of names, raffle tickets, or options with duplicate controls.</t>
  </si>
  <si>
    <t>Selected winners are chosen uniformly at random using the Fisher-Yates shuffle algorithm. Each non-duplicate entry has an equal 1/N probability of selection.</t>
  </si>
  <si>
    <t>Paste names one per line. If participants earned multiple raffle tickets, enter their name on multiple lines and keep 'Allow duplicate wins' unchecked to award unique winners.</t>
  </si>
  <si>
    <t>Operates entirely on the text pasted into the browser. Maximum recommended list size for optimal responsiveness is 10,000 entries.</t>
  </si>
  <si>
    <t>Random Name &amp; Item Picker — Fair Winner Selection Tool</t>
  </si>
  <si>
    <t>Generate ultra-secure, cryptographically random passwords and passphrases with length, character set, and readability filters.</t>
  </si>
  <si>
    <t>Calculates cryptographic entropy in bits (Entropy = Length * log2(CharsetSize)). 16+ character passwords with mixed character sets exceed 90+ bits of entropy, making brute-force cracking mathematically infeasible.</t>
  </si>
  <si>
    <t>Use at least 16 characters for critical logins (banking, primary email, password manager master key). Keep 'Exclude ambiguous characters' enabled if you will need to type the password manually on mobile devices.</t>
  </si>
  <si>
    <t>Generates random character strings. Memorability is low; generated passwords should be stored in a trusted password manager (e.g. Bitwarden, 1Password).</t>
  </si>
  <si>
    <t>Strong Password Generator — Secure, Unhackable Passwords Online</t>
  </si>
  <si>
    <t>Generate unique, catchy, and creative usernames for gaming, social media, GitHub, Discord, and online profiles.</t>
  </si>
  <si>
    <t>Generates 12 brandable username candidates synthesizing curated linguistic lexicons, prefixes, and suffixes matching the selected aesthetic style.</t>
  </si>
  <si>
    <t>Enter your preferred nickname as a seed word, select your target vibe (e.g. Gaming or Tech), and click any handle to copy it directly to your clipboard.</t>
  </si>
  <si>
    <t>Availability depends on individual social media platform registrations. Tool generates linguistic combinations but does not query private third-party APIs.</t>
  </si>
  <si>
    <t>Username Generator — Creative &amp; Catchy Gamertags and Handles</t>
  </si>
  <si>
    <t>Instantly check your public IPv4 and IPv6 address, internet service provider (ISP), location, and connection details.</t>
  </si>
  <si>
    <t>Your Public IP is the global numeric address assigned by your Internet Service Provider (ISP) visible to external web servers. Geolocation reflects the ISP routing hub, not your physical street address.</t>
  </si>
  <si>
    <t>If using a VPN or proxy, verify that the displayed IP matches your VPN server location. Use the 1-click Copy button to paste into AWS security groups, database IP whitelists, or server configuration files.</t>
  </si>
  <si>
    <t>IP geolocation accuracy is limited to the city or regional ISP datacenter level. It cannot pinpoint exact residential street addresses or personal identities without ISP subscriber logs.</t>
  </si>
  <si>
    <t>What is My IP Address? — Instant Public IP &amp; ISP Checker</t>
  </si>
  <si>
    <t>Inspect your browser engine, operating system, hardware concurrency, memory, GPU WebGL renderer, and feature support.</t>
  </si>
  <si>
    <t>Audits standard W3C navigator, screen, and WebGL APIs. Hardware concurrency reflects logical CPU threads available for web worker parallelization.</t>
  </si>
  <si>
    <t>Click 'Copy Diagnostics' to paste a clean markdown hardware specification directly into GitHub issues, Jira bug reports, or technical support tickets.</t>
  </si>
  <si>
    <t>Certain metrics (e.g. Device Memory) are reported as rounded buckets by browsers to protect user privacy against passive device fingerprinting.</t>
  </si>
  <si>
    <t>Browser &amp; System Information — Full Device Hardware &amp; Feature Inspector</t>
  </si>
  <si>
    <t>Check your physical screen resolution, CSS viewport dimensions, device pixel ratio (DPR), color depth, and orientation.</t>
  </si>
  <si>
    <t>Physical Screen Resolution is the raw hardware pixel count (e.g. 3840x2160). CSS Viewport is the logical layout area scaled by DPR (e.g. 1920x1080 at 2.0x DPR).</t>
  </si>
  <si>
    <t>Drag your browser window edges to observe CSS viewport values update in real time. Use these dimensions to test CSS `@media (min-width: ...)` query breakpoints.</t>
  </si>
  <si>
    <t>Browser security sandboxes do not expose multi-monitor coordinate arrangements beyond the window's current active screen.</t>
  </si>
  <si>
    <t>Screen Resolution &amp; Viewport Checker — Accurate Display Dimensions</t>
  </si>
  <si>
    <t>Measure HTTP network round-trip latency, jitter, and connection stability to global server nodes in real time.</t>
  </si>
  <si>
    <t>Under 30ms = Excellent (Competitive Gaming, Real-time audio). 30–70ms = Good (Smooth 4K streaming, Zoom calls). 70–150ms = Acceptable. &gt;150ms = Noticeable lag. Jitter indicates connection consistency; jitter &gt; 15ms causes voice stutters.</t>
  </si>
  <si>
    <t>If ping is high or jitter is &gt; 20ms, switch from 2.4GHz WiFi to 5GHz WiFi or a wired Ethernet cable. Check if background downloads or VPN routing are increasing latency.</t>
  </si>
  <si>
    <t>Browser-based ping measures HTTP application-layer round-trip time via performance.now(). It includes TLS/TCP overhead and will be slightly higher than raw ICMP ping in command line terminal.</t>
  </si>
  <si>
    <t>Ping &amp; Latency Test — Real-Time HTTP Connection Latency Monitor</t>
  </si>
  <si>
    <t>Query live DNS records (A, AAAA, CNAME, MX, TXT, NS, SOA, CAA) for any domain using DNS-over-HTTPS.</t>
  </si>
  <si>
    <t>A/AAAA map hostnames to IPv4/IPv6 addresses. MX specifies mail servers. TXT holds verification tokens (SPF, DKIM, Google verification). NS indicates authoritative nameservers.</t>
  </si>
  <si>
    <t>When changing web hosts, check the TTL (Time To Live). If TTL is 3600, changes will take approximately 1 hour to propagate globally. Use MX lookups to verify email routing prior to cutover.</t>
  </si>
  <si>
    <t>Queries public DNS-over-HTTPS resolvers (Cloudflare 1.1.1.1). Local intranet split-brain DNS records behind private firewalls are not queryable from public resolvers.</t>
  </si>
  <si>
    <t>DNS Lookup Tool — Query A, AAAA, MX, TXT, CNAME, NS Records Online</t>
  </si>
  <si>
    <t>View, parse, and analyze your current User-Agent string or test custom User-Agent strings to inspect device, browser, and OS tokens.</t>
  </si>
  <si>
    <t>Identifies the client software family and platform architecture. Shows whether the request originates from a Mobile, Tablet, or Desktop environment.</t>
  </si>
  <si>
    <t>Paste User-Agent strings from Apache/Nginx web server access logs to identify client device types or detect search crawler bots (Googlebot, Bingbot).</t>
  </si>
  <si>
    <t>Modern Chromium browsers freeze User-Agent strings to prevent device fingerprinting and rely on User-Agent Client Hints (UA-CH).</t>
  </si>
  <si>
    <t>User Agent Parser &amp; Checker — Breakdown Client UA Header</t>
  </si>
  <si>
    <t>Format, beautify, indent, minify, and inspect JSON data with syntax highlighting, collapsible nodes, and error reporting.</t>
  </si>
  <si>
    <t>Re-indents JSON structure according to standard RFC 8259 formatting rules. Minify strips unnecessary whitespace to reduce byte payload size.</t>
  </si>
  <si>
    <t>Use '2 Spaces' indentation for web APIs and configuration files. Use 'Minify' before transmitting payloads in production network requests to reduce bandwidth.</t>
  </si>
  <si>
    <t>Strictly adheres to JSON standard: keys must be enclosed in double quotes, trailing commas are invalid, and comments are not supported.</t>
  </si>
  <si>
    <t>JSON Formatter &amp; Beautifier — Free Online JSON Prettifier &amp; Minifier</t>
  </si>
  <si>
    <t>Validate JSON syntax in real time with line and column error indicators, character offsets, and auto-fix capabilities.</t>
  </si>
  <si>
    <t>Green banner confirms full RFC 8259 specification compliance. Red banner pinpoints exact error reason (e.g. unexpected token, trailing comma, unquoted key).</t>
  </si>
  <si>
    <t>If your JSON has single quotes or trailing commas, click 'Attempt Auto-Fix' to automatically convert to standard double quotes and clean trailing commas.</t>
  </si>
  <si>
    <t>Validates JSON syntax structure. Does not validate semantic business logic or custom JSON Schema definitions.</t>
  </si>
  <si>
    <t>JSON Validator &amp; Linter — Instant JSON Syntax Error Checker</t>
  </si>
  <si>
    <t>Convert plain text, UTF-8 strings, images, and files into standard Base64 or Data URI format.</t>
  </si>
  <si>
    <t>Translates 8-bit binary bytes into 6-bit Base64 character sequences (A-Z, a-z, 0-9, +, /). Data size increases by exactly 33.3% due to the 3-to-4 byte expansion.</t>
  </si>
  <si>
    <t>Use Data URI format (`data:image/png;base64,...`) when inlining small icons (&lt; 5KB) directly into HTML or CSS to eliminate extra HTTP requests.</t>
  </si>
  <si>
    <t>Base64 is an encoding format, NOT encryption. Encoded data is easily reversible and provides zero cryptographic confidentiality on its own.</t>
  </si>
  <si>
    <t>Base64 Encoder — Convert Plain Text &amp; Files to Base64 Online</t>
  </si>
  <si>
    <t>Decode Base64 encoded strings and Data URIs back to clean UTF-8 text, inspect hex representation, or download decoded files.</t>
  </si>
  <si>
    <t>Reconstructs the original UTF-8 text or binary file from the 6-bit Base64 character representation. Image payloads are automatically rendered in a visual preview container.</t>
  </si>
  <si>
    <t>If decoding a JWT token, copy the middle payload segment between the two dots (`.`) and paste here to inspect the decoded claims JSON.</t>
  </si>
  <si>
    <t>Malformed Base64 strings with invalid characters or illegal padding lengths will trigger syntax warnings.</t>
  </si>
  <si>
    <t>Base64 Decoder — Decode Base64 to Text or Download Files</t>
  </si>
  <si>
    <t>Generate cryptographically random UUID v4 and timestamp-based UUID v1 identifiers in bulk with uppercase, hyphen, and brace formatting.</t>
  </si>
  <si>
    <t>A UUID v4 contains 122 bits of cryptographically random entropy. The collision probability across billions of generated IDs is practically zero.</t>
  </si>
  <si>
    <t>Use Version 4 for distributed database primary keys and API idempotency keys. Toggle 'Uppercase' or 'Remove hyphens' based on your database or programming language conventions.</t>
  </si>
  <si>
    <t>UUID v4 is randomly distributed and non-sequential; for high-write B-tree database indexing where sequential insertion order is required, UUID v7 or ULID is recommended.</t>
  </si>
  <si>
    <t>UUID / GUID Generator — Bulk Version 4 (v4) &amp; v1 UUID Generator</t>
  </si>
  <si>
    <t>Convert Unix epoch timestamps (seconds &amp; milliseconds) to human-readable dates (UTC, Local, ISO-8601, RFC 2822) and vice versa.</t>
  </si>
  <si>
    <t>Unix timestamp measures the continuous number of non-leap seconds elapsed since January 1, 1970 00:00:00 UTC. 10 digits = seconds; 13 digits = milliseconds.</t>
  </si>
  <si>
    <t>Click 'Use Current Timestamp' to grab the current epoch time for testing JWT expiration dates (`exp`) or setting database created_at test values.</t>
  </si>
  <si>
    <t>32-bit signed integer timestamps will overflow on January 19, 2038 (the Year 2038 problem). This tool uses 64-bit JavaScript numbers and is immune to 2038 overflow.</t>
  </si>
  <si>
    <t>Unix Timestamp Converter — Epoch to Human Date &amp; Time Calculator</t>
  </si>
  <si>
    <t>Encode raw strings and query parameters into standard percent-encoded URLs (encodeURI &amp; encodeURIComponent).</t>
  </si>
  <si>
    <t>Replaces non-alphanumeric and unsafe ASCII characters with a `%` followed by their hexadecimal ASCII/UTF-8 byte value (e.g. space becomes `%20`).</t>
  </si>
  <si>
    <t>Use 'Component Mode' when encoding parameter values (e.g. a search query like `c++ &amp; python`). Use 'Full URL Mode' when encoding an entire website address without breaking the protocol and domain.</t>
  </si>
  <si>
    <t>Component encoding encodes structural characters like `/` and `?`. Do not use Component Mode on full domain URLs.</t>
  </si>
  <si>
    <t>URL Encoder — Free Online Percent-Encoding &amp; URI Converter</t>
  </si>
  <si>
    <t>Decode percent-encoded URLs and query parameters into readable text with structured breakdown of protocol, host, path, and query arguments.</t>
  </si>
  <si>
    <t>Restores original text characters and parses the URL into Origin, Pathname, and an itemized key-value parameter table.</t>
  </si>
  <si>
    <t>Paste marketing campaign links to quickly inspect and verify `utm_source`, `utm_medium`, and `utm_campaign` values before launching ads.</t>
  </si>
  <si>
    <t>Malformed percent sequences (e.g. `%` followed by non-hex characters) are decoded gracefully where possible.</t>
  </si>
  <si>
    <t>URL Decoder &amp; Query Parameter Parser — Decode %20 &amp; URLs Online</t>
  </si>
  <si>
    <t>Create customizable, high-resolution QR codes for URLs, plain text, WiFi access, vCards, emails, SMS, and phone numbers with PNG &amp; SVG export.</t>
  </si>
  <si>
    <t>Encodes data directly into a 2D matrix barcode (Static QR). Because there is no intermediary redirect server, the QR code functions permanently for life.</t>
  </si>
  <si>
    <t>For printed flyers and menus, follow the 10:1 distance-to-size rule: if scanned from 1 meter (40 inches) away, the printed QR code should be at least 10 cm (4 inches) wide. Always test scan with both iOS and Android cameras before printing.</t>
  </si>
  <si>
    <t>Static QR codes encode the data directly into the matrix; once printed, the destination URL cannot be changed without reprinting.</t>
  </si>
  <si>
    <t>QR Code Generator — Free, High-Resolution QR Codes with PNG &amp; SVG Download</t>
  </si>
  <si>
    <t>Design professional, modern HTML email signatures with live preview and 1-click rich-text copy for Gmail, Outlook, and Apple Mail.</t>
  </si>
  <si>
    <t>Generates standard nested HTML tables with inline CSS formatting. Inline styling ensures email clients render borders, avatar radius, and link typography consistently.</t>
  </si>
  <si>
    <t>Use 'Copy for Gmail/Outlook' to copy rich formatted text directly into your clipboard, open your email client settings, and paste (Ctrl+V / Cmd+V) directly into the signature box.</t>
  </si>
  <si>
    <t>Avatar and logo images must be hosted on public HTTPS URLs (e.g. your website or a cloud CDN) so email recipients' mail clients can download them.</t>
  </si>
  <si>
    <t>Email Signature Generator — Free Professional HTML Signatures</t>
  </si>
  <si>
    <t>Generate creative, brandable business, startup, and project names by industry, style, and keywords with instant domain search links.</t>
  </si>
  <si>
    <t>Generates 12 categorized, phonetically appealing name candidates blending linguistic root words, thematic affixes, and modern startup naming conventions.</t>
  </si>
  <si>
    <t>Click the external link icon next to any generated name to check `.com` WHOIS registration status immediately on DomainTools.</t>
  </si>
  <si>
    <t>Names are generated algorithmically. Founders should perform a national trademark check (e.g. USPTO / WIPO) before finalizing incorporation.</t>
  </si>
  <si>
    <t>Business Name Generator — Brandable Startup &amp; Company Names</t>
  </si>
  <si>
    <t>Create, customize, and download clean, professional PDF invoices directly in your browser with currency, tax, and discount calculations.</t>
  </si>
  <si>
    <t>Calculates line item totals (Quantity * Rate), subtotal, percentage sales tax, discounts, and final balance due with standard accounting formatting.</t>
  </si>
  <si>
    <t>Click 'Print / Save as PDF'. In your browser print dialog, choose 'Save as PDF' and check 'Background graphics' for a clean invoice document.</t>
  </si>
  <si>
    <t>Runs entirely in active browser memory. Ensure you save your PDF export before navigating away, as data resets upon closing the tab.</t>
  </si>
  <si>
    <t>Free Invoice Generator — Create &amp; Download Professional PDF Invoices</t>
  </si>
  <si>
    <t>Calculate percentages, percentage increases/decreases, percentage differences, and fractions with step-by-step math explanations.</t>
  </si>
  <si>
    <t>Calculates exact percentage values and relative change. Positive percentage change reflects growth; negative percentage change indicates reduction.</t>
  </si>
  <si>
    <t>Use Scenario 3 (From X to Y) to measure month-over-month business revenue growth or stock price changes.</t>
  </si>
  <si>
    <t>Percentage change requires a non-zero starting base (division by zero is undefined).</t>
  </si>
  <si>
    <t>Percentage Calculator — Fast, Multi-Mode Percent &amp; Change Calculator</t>
  </si>
  <si>
    <t>Calculate future investment growth with compound interest, regular monthly/annual contributions, and detailed year-by-year tables.</t>
  </si>
  <si>
    <t>Distinguishes between total principal invested (your out-of-pocket deposits) and pure interest earned. Demonstrates the tipping point where annual compound interest surpasses annual contributions.</t>
  </si>
  <si>
    <t>Use the Rule of 72 (72 / Annual Rate) for quick mental estimates of when your investment doubles. Notice how extending time from 10 to 20 years more than triples total accumulated interest.</t>
  </si>
  <si>
    <t>Assumes a constant annualized rate of return without market volatility, inflation adjustments, dividend taxation, or management fees.</t>
  </si>
  <si>
    <t>Compound Interest Calculator — Investment &amp; Savings Growth Planner</t>
  </si>
  <si>
    <t>Calculate monthly loan payments, total interest costs, and full amortization payoff schedules for mortgages, auto loans, and personal loans.</t>
  </si>
  <si>
    <t>Calculates monthly principal and interest payment. The amortization schedule illustrates how early loan payments consist heavily of interest, while later payments pay off principal.</t>
  </si>
  <si>
    <t>Compare 15-year vs 30-year terms: while 15-year loans have higher monthly payments, they drastically cut total interest paid over the life of the loan (often saving $100k+ on mortgages).</t>
  </si>
  <si>
    <t>Calculates standard fixed-rate amortizing loans. Does not include property taxes, homeowners insurance (PITI), HOA dues, or private mortgage insurance (PMI).</t>
  </si>
  <si>
    <t>Loan &amp; Mortgage Calculator — Monthly Payment &amp; Amortization Schedule</t>
  </si>
  <si>
    <t>Calculate final sale prices, total savings, stacked coupon discounts, and local sales tax in one simple step.</t>
  </si>
  <si>
    <t>Calculates the effective markdown. Double stacked discounts (e.g. 20% off + 10% coupon) apply sequentially (Total 28% off), not additively.</t>
  </si>
  <si>
    <t>Use this tool while shopping during sales events to see your true total checkout cost including sales tax.</t>
  </si>
  <si>
    <t>Assumes standard sequential compounding for stacked coupons (Coupon applies to already-discounted price).</t>
  </si>
  <si>
    <t>Discount Calculator — Calculate Sale Price, Savings &amp; Sales Tax</t>
  </si>
  <si>
    <t>Calculate Body Mass Index (BMI) using metric or imperial units with World Health Organization (WHO) weight categories and healthy ranges.</t>
  </si>
  <si>
    <t>&lt; 18.5 = Underweight; 18.5–24.9 = Normal / Healthy weight; 25.0–29.9 = Overweight; ≥ 30.0 = Obese.</t>
  </si>
  <si>
    <t>Use BMI as a general baseline screening index. For comprehensive fitness assessments, combine BMI with body fat percentage and waist-to-height ratio measurements.</t>
  </si>
  <si>
    <t>IMPORTANT: BMI is a population statistical index. It does NOT distinguish between muscle mass, bone density, and body fat. Athletes, bodybuilders, pregnant women, and the elderly may have skewed BMI classifications.</t>
  </si>
  <si>
    <t>BMI Calculator — Calculate Body Mass Index (Metric &amp; Imperial)</t>
  </si>
  <si>
    <t>Calculate your exact age in years, months, weeks, days, hours, minutes, and seconds with next birthday countdown.</t>
  </si>
  <si>
    <t>Calculates exact elapsed calendar intervals, accounting for leap years and varying month lengths (28, 30, 31 days).</t>
  </si>
  <si>
    <t>Use for verifying age thresholds on official applications, tracking infant age in months and days, or calculating wedding anniversary milestones.</t>
  </si>
  <si>
    <t>Calculates standard Gregorian calendar date intervals.</t>
  </si>
  <si>
    <t>Age Calculator — Exact Chronological Age &amp; Birthday Countdown</t>
  </si>
  <si>
    <t>Calculate your recommended daily hydration goal based on body weight, daily exercise duration, climate, and lifestyle factors.</t>
  </si>
  <si>
    <t>Calculates baseline metabolic hydration needs (approx. 35ml per kg) and scales for sweat loss during exercise and heat evaporation in hot climates.</t>
  </si>
  <si>
    <t>Distribute water intake throughout the day (e.g. 1 glass upon waking, 1 glass before each meal, and hydration during workouts). Monitor urine color (pale straw yellow indicates optimal hydration).</t>
  </si>
  <si>
    <t>Estimates general healthy adult requirements. Individuals with kidney conditions, congestive heart failure, or specific medical fluid restrictions must consult their physician.</t>
  </si>
  <si>
    <t>Daily Water Intake Calculator — Personalized Hydration Target</t>
  </si>
  <si>
    <t>Count words, characters (with and without spaces), sentences, paragraphs, reading time, and speaking time in real time.</t>
  </si>
  <si>
    <t>Provides comprehensive text statistics. Reading time is estimated at standard adult speed (225 words/min); speaking time is estimated for speeches/podcasts (130 words/min).</t>
  </si>
  <si>
    <t>Use for Twitter/X character limits (280 chars), Google SEO meta title limits (60 chars), meta description limits (155-160 chars), and college essay word caps.</t>
  </si>
  <si>
    <t>Counts words separated by whitespace. Hyphenated compound words are treated as single tokens.</t>
  </si>
  <si>
    <t>Word &amp; Character Counter — Real-Time Text Statistics &amp; Reading Time</t>
  </si>
  <si>
    <t>Calculate cumulative and semester Grade Point Average (GPA) on standard 4.0 weighted and unweighted grading scales.</t>
  </si>
  <si>
    <t>Unweighted GPA scales up to 4.0. Weighted GPA awards an extra +0.5 grade point for Honors/AP classes to reflect advanced course difficulty.</t>
  </si>
  <si>
    <t>Use this tool before finals to calculate target grades required to maintain academic scholarship thresholds or qualify for Dean's List (typically 3.5+).</t>
  </si>
  <si>
    <t>Uses standard US 4.0 academic conversion scale (A = 4.0, B = 3.0, C = 2.0). Some universities use custom 4.33 or 5.0 scales.</t>
  </si>
  <si>
    <t>GPA Calculator — Fast 4.0 College &amp; High School Grade Calculator</t>
  </si>
  <si>
    <t>Convert color codes seamlessly between HEX, RGB, RGBA, HSL, HSLA, and CSS color formats with color preview and WCAG contrast check.</t>
  </si>
  <si>
    <t>Calculates mathematical color space coordinates across sRGB and cylindrical HSL spaces. All formats represent identical optical color output.</t>
  </si>
  <si>
    <t>Use HSL in CSS stylesheets when building dynamic color themes (e.g. adjusting lightness `L` creates matching hover and active button states easily).</t>
  </si>
  <si>
    <t>Converts within standard sRGB color gamut. Wide-gamut color spaces (Display P3, Rec. 2020) are mapped to sRGB equivalents.</t>
  </si>
  <si>
    <t>Color Converter — HEX to RGB, HSL, RGBA &amp; CSS Color Picker</t>
  </si>
  <si>
    <t>Calculate image and video aspect ratios (16:9, 4:3, 1:1, 21:9, 9:16) and compute proportional dimensions for responsive layouts.</t>
  </si>
  <si>
    <t>Calculates proportional geometric dimensions: (Target Width / Target Height) = (Ratio Width / Ratio Height). Visual preview displays the container shape.</t>
  </si>
  <si>
    <t>Use 16:9 (1920x1080) for YouTube videos and desktop headers. Use 9:16 (1080x1920) for Instagram Reels, TikTok, and YouTube Shorts.</t>
  </si>
  <si>
    <t>Outputs rounded integer pixel coordinates suitable for web graphics and video rendering engines.</t>
  </si>
  <si>
    <t>Aspect Ratio Calculator — Proportional Image &amp; Video Dimension Tool</t>
  </si>
  <si>
    <t>Estimate token counts and API costs for OpenAI (GPT-4o, GPT-4, GPT-3.5), Claude 3.5, and Gemini LLM prompts and context windows.</t>
  </si>
  <si>
    <t>Calculates BPE token approximations. English text averages ~4 characters per token; code and JSON brackets produce smaller subwords (~2.5 - 3 chars/token).</t>
  </si>
  <si>
    <t>Keep system prompts concise by removing conversational filler. Minimize token counts by stripping whitespace indents in large JSON payloads before sending to LLM APIs.</t>
  </si>
  <si>
    <t>Provides calibrated Byte-Pair Encoding (BPE) estimations. Exact token counts may vary slightly by ±2% depending on specific subword tokenizer dictionaries.</t>
  </si>
  <si>
    <t>AI Token Counter &amp; LLM Cost Estimator — GPT-4o, Claude 3.5, Gemini</t>
  </si>
  <si>
    <t>Clean, format, structure, and enhance raw AI prompts with role instructions, constraints, context delimiters, and output formatting schemas.</t>
  </si>
  <si>
    <t>Structures instructions into distinct markdown sections. Separating Role, Objective, Constraints, and Output Schema prevents prompt confusion and improves reasoning accuracy.</t>
  </si>
  <si>
    <t>Copy the generated structured prompt and paste as the System Message in ChatGPT, Claude, or your LLM API request payload for deterministic results.</t>
  </si>
  <si>
    <t>Generates a proven architectural prompt template; model response quality also depends on the specific foundation model capability.</t>
  </si>
  <si>
    <t>AI Prompt Cleaner &amp; Enhancer — Structured Prompt Engineering Tool</t>
  </si>
  <si>
    <t>Accurate digital clock with real-time speech synthesis time announcement, daily recurring alarms, and client-side notifications.</t>
  </si>
  <si>
    <t>Displays live 12H/24H time with milliseconds precision and vocalizes hours and minutes using native OS speech synthesis voices.</t>
  </si>
  <si>
    <t>Grant browser notification permissions if you want visual popup alerts when working in other tabs. Keep the browser tab open for alarms to trigger.</t>
  </si>
  <si>
    <t>Background audio may be suspended by mobile OS power-savers if the screen is locked or tab is deeply backgrounded.</t>
  </si>
  <si>
    <t>Talking Alarm Clock — Voice Time Announcement &amp; Alarms Online</t>
  </si>
  <si>
    <t>Free online talking alarm clock with spoken time voice announcements, 12/24 hour display, custom alarms, and zero server logging.</t>
  </si>
  <si>
    <t>Compare two text blocks or code snippets side-by-side with line-by-line character difference highlighting and statistics.</t>
  </si>
  <si>
    <t>Provides color-coded additions (+ green), deletions (- red), and unchanged lines with total counts and unified or side-by-side view toggles.</t>
  </si>
  <si>
    <t>Toggle between Unified View for quick scanning and Side-by-Side View for wide screen code inspections.</t>
  </si>
  <si>
    <t>Optimized for texts up to 50,000 lines. Extremely large multi-gigabyte log files should use command-line diff utilities.</t>
  </si>
  <si>
    <t>Diff Checker — Compare Text &amp; Code Differences Online Free</t>
  </si>
  <si>
    <t>Free online diff checker. Compare two text files or code snippets side-by-side with line-by-line difference highlighting and 100% privacy.</t>
  </si>
  <si>
    <t>Write or paste GitHub Flavored Markdown and instantly preview the rendered document with 1-click HTML markup export.</t>
  </si>
  <si>
    <t>Provides real-time synchronized rendering supporting headings, code syntax, tables, task lists, and quotes.</t>
  </si>
  <si>
    <t>Switch between Live Preview to review typography and HTML Markup to copy raw HTML tags for your CMS or newsletter.</t>
  </si>
  <si>
    <t>Custom proprietary markdown flavor extensions (like Obsidian double bracket links) require standard markdown links.</t>
  </si>
  <si>
    <t>Markdown to HTML Converter &amp; Live Previewer Online</t>
  </si>
  <si>
    <t>Convert GitHub Flavored Markdown to clean HTML with real-time live preview, table support, and instant clipboard export.</t>
  </si>
  <si>
    <t>Bi-directional tabular data converter between CSV/TSV spreadsheets and structured JSON arrays with custom delimiter support.</t>
  </si>
  <si>
    <t>Auto-detects column headers, infers numeric and boolean types, and handles custom delimiters (commas, tabs, semicolons, pipes).</t>
  </si>
  <si>
    <t>Ensure the first line contains unique column header names. Use the delimiter dropdown if parsing European semicolon CSVs.</t>
  </si>
  <si>
    <t>Deeply nested JSON objects are flattened during JSON-to-CSV serialization.</t>
  </si>
  <si>
    <t>CSV to JSON &amp; JSON to CSV Converter Online Free</t>
  </si>
  <si>
    <t>Convert CSV spreadsheets to JSON arrays and JSON to CSV instantly in your browser with custom delimiters and 100% privacy.</t>
  </si>
  <si>
    <t>Universal multi-category unit converter for length, mass/weight, temperature, speed, volume, and area with precise conversion ratios.</t>
  </si>
  <si>
    <t>Displays converted value with up to 5 decimal places precision alongside the exact unitary conversion ratio formula.</t>
  </si>
  <si>
    <t>Use the swap button (⇄) to invert source and target units instantly without re-typing numbers.</t>
  </si>
  <si>
    <t>Specialized non-linear logarithmic units (like decibels or Richter scales) are not covered in standard dimensional conversion.</t>
  </si>
  <si>
    <t>Unit Converter — Metric to Imperial Measurements Online</t>
  </si>
  <si>
    <t>Free online unit converter for Length, Weight, Temperature, Speed, Area, and Volume. Instant conversion with 100% precision.</t>
  </si>
  <si>
    <t>Generate standard Cicero dummy placeholder text in paragraphs, sentences, words, or bullet list items with optional HTML markup.</t>
  </si>
  <si>
    <t>Provides natural sentence lengths with realistic punctuation and capitalization, ready for 1-click clipboard copying.</t>
  </si>
  <si>
    <t>Enable 'Wrap in HTML tags' if you are pasting directly into code editors or rich CMS environments.</t>
  </si>
  <si>
    <t>Generated text is intended strictly as dummy placeholder copy and carries no semantic English meaning.</t>
  </si>
  <si>
    <t>Lorem Ipsum Generator — Custom Placeholder Text Online</t>
  </si>
  <si>
    <t>Generate dummy Lorem Ipsum placeholder text by paragraphs, sentences, or words with HTML tag options and instant copy.</t>
  </si>
  <si>
    <t>Transform text and code variable names across camelCase, snake_case, kebab-case, PascalCase, CONSTANT_CASE, and Title Case.</t>
  </si>
  <si>
    <t>Displays synchronized cards for 9 standard conventions with 1-click copy buttons for every case format.</t>
  </si>
  <si>
    <t>Handles existing mixed delimiters (spaces, underscores, hyphens, and camel boundaries) seamlessly.</t>
  </si>
  <si>
    <t>Non-Latin character sets without uppercase/lowercase equivalents (like Chinese or Arabic) are preserved unchanged.</t>
  </si>
  <si>
    <t>Case Converter — camelCase, snake_case, kebab-case Online</t>
  </si>
  <si>
    <t>Instantly convert text to camelCase, snake_case, kebab-case, PascalCase, CONSTANT_CASE, and Title Case with 1-click copy.</t>
  </si>
  <si>
    <t>Compute secure cryptographic checksums using native W3C Web Crypto API with uppercase/lowercase formatting and bit-length auditing.</t>
  </si>
  <si>
    <t>Displays exact hexadecimal string representations along with bit length (256-bit, 512-bit) and byte count.</t>
  </si>
  <si>
    <t>Use SHA-256 or SHA-512 for modern cryptographic integrity. SHA-1 is provided for legacy checksum verification.</t>
  </si>
  <si>
    <t>MD5 is obsolete and intentionally excluded from W3C Web Crypto for modern cryptographic security.</t>
  </si>
  <si>
    <t>Cryptographic Hash Generator — SHA-256 &amp; SHA-512 Online</t>
  </si>
  <si>
    <t>Generate SHA-256, SHA-512, SHA-384, and SHA-1 cryptographic hashes securely in your browser using W3C Web Crypto API.</t>
  </si>
  <si>
    <t>High-precision millisecond stopwatch with lap recording and customizable countdown alarm with Web Audio beeper alerts.</t>
  </si>
  <si>
    <t>Provides large high-contrast digits with milliseconds display, lap history records, and audio buzzer alarm upon completion.</t>
  </si>
  <si>
    <t>Use quick preset buttons (5 min, 15 min, 25 min Pomodoro) to launch countdowns with 1 click.</t>
  </si>
  <si>
    <t>Timers run while the browser tab is open. If your computer goes to sleep, the timer will pause until wake.</t>
  </si>
  <si>
    <t>Online Stopwatch &amp; Countdown Timer with Milliseconds &amp; Sound</t>
  </si>
  <si>
    <t>Free online stopwatch with lap recording and countdown alarm timer with audio alerts. Accurate to milliseconds and 100% free.</t>
  </si>
  <si>
    <t>⬆️ Back to Parent: P-Releases</t>
  </si>
  <si>
    <t>C-Changes — Master Chronological Changelog Ledger</t>
  </si>
  <si>
    <t>entry_id</t>
  </si>
  <si>
    <t>timestamp</t>
  </si>
  <si>
    <t>change_type</t>
  </si>
  <si>
    <t>change_summary</t>
  </si>
  <si>
    <t>details</t>
  </si>
  <si>
    <t>author</t>
  </si>
  <si>
    <t>CHG-0002</t>
  </si>
  <si>
    <t>2026-08-24T18:00:00Z</t>
  </si>
  <si>
    <t>INITIAL_CREATION</t>
  </si>
  <si>
    <t>Phase 1 Foundation: Implemented core interactive utility component</t>
  </si>
  <si>
    <t>Zero-dependency client-side execution with light/dark theme support</t>
  </si>
  <si>
    <t>CHG-0003</t>
  </si>
  <si>
    <t>2026-08-25T04:00:00Z</t>
  </si>
  <si>
    <t>VALUE_EXPANSION</t>
  </si>
  <si>
    <t>Version 1.1 Upgrade: Added search intent, result interpretation, guidance, and FAQ schema</t>
  </si>
  <si>
    <t>Expanded 8-part search destination layout with 100% client-side privacy guarantees (Live at https://utl.tools)</t>
  </si>
  <si>
    <t>CHG-0004</t>
  </si>
  <si>
    <t>CHG-0005</t>
  </si>
  <si>
    <t>CHG-0006</t>
  </si>
  <si>
    <t>CHG-0007</t>
  </si>
  <si>
    <t>CHG-0008</t>
  </si>
  <si>
    <t>CHG-0009</t>
  </si>
  <si>
    <t>CHG-0010</t>
  </si>
  <si>
    <t>CHG-0011</t>
  </si>
  <si>
    <t>CHG-0012</t>
  </si>
  <si>
    <t>CHG-0013</t>
  </si>
  <si>
    <t>CHG-0014</t>
  </si>
  <si>
    <t>CHG-0015</t>
  </si>
  <si>
    <t>CHG-0016</t>
  </si>
  <si>
    <t>CHG-0017</t>
  </si>
  <si>
    <t>CHG-0018</t>
  </si>
  <si>
    <t>CHG-0019</t>
  </si>
  <si>
    <t>CHG-0020</t>
  </si>
  <si>
    <t>CHG-0021</t>
  </si>
  <si>
    <t>CHG-0022</t>
  </si>
  <si>
    <t>CHG-0023</t>
  </si>
  <si>
    <t>CHG-0024</t>
  </si>
  <si>
    <t>CHG-0025</t>
  </si>
  <si>
    <t>CHG-0026</t>
  </si>
  <si>
    <t>CHG-0027</t>
  </si>
  <si>
    <t>CHG-0028</t>
  </si>
  <si>
    <t>CHG-0029</t>
  </si>
  <si>
    <t>CHG-0030</t>
  </si>
  <si>
    <t>CHG-0031</t>
  </si>
  <si>
    <t>CHG-0032</t>
  </si>
  <si>
    <t>CHG-0033</t>
  </si>
  <si>
    <t>CHG-0034</t>
  </si>
  <si>
    <t>CHG-0035</t>
  </si>
  <si>
    <t>CHG-0036</t>
  </si>
  <si>
    <t>CHG-0037</t>
  </si>
  <si>
    <t>CHG-0038</t>
  </si>
  <si>
    <t>CHG-0039</t>
  </si>
  <si>
    <t>CHG-0040</t>
  </si>
  <si>
    <t>CHG-0041</t>
  </si>
  <si>
    <t>CHG-0042</t>
  </si>
  <si>
    <t>CHG-0043</t>
  </si>
  <si>
    <t>CHG-0044</t>
  </si>
  <si>
    <t>CHG-0045</t>
  </si>
  <si>
    <t>CHG-0046</t>
  </si>
  <si>
    <t>CHG-0047</t>
  </si>
  <si>
    <t>CHG-0048</t>
  </si>
  <si>
    <t>CHG-0049</t>
  </si>
  <si>
    <t>CHG-0050</t>
  </si>
  <si>
    <t>CHG-0051</t>
  </si>
  <si>
    <t>CHG-0052</t>
  </si>
  <si>
    <t>CHG-0053</t>
  </si>
  <si>
    <t>CHG-0054</t>
  </si>
  <si>
    <t>CHG-0055</t>
  </si>
  <si>
    <t>CHG-0056</t>
  </si>
  <si>
    <t>CHG-0057</t>
  </si>
  <si>
    <t>CHG-0058</t>
  </si>
  <si>
    <t>CHG-0059</t>
  </si>
  <si>
    <t>CHG-0060</t>
  </si>
  <si>
    <t>CHG-0061</t>
  </si>
  <si>
    <t>CHG-0062</t>
  </si>
  <si>
    <t>CHG-0063</t>
  </si>
  <si>
    <t>CHG-0064</t>
  </si>
  <si>
    <t>CHG-0065</t>
  </si>
  <si>
    <t>CHG-0066</t>
  </si>
  <si>
    <t>CHG-0067</t>
  </si>
  <si>
    <t>CHG-0068</t>
  </si>
  <si>
    <t>CHG-0069</t>
  </si>
  <si>
    <t>CHG-0070</t>
  </si>
  <si>
    <t>CHG-0071</t>
  </si>
  <si>
    <t>CHG-0072</t>
  </si>
  <si>
    <t>CHG-0073</t>
  </si>
  <si>
    <t>CHG-0074</t>
  </si>
  <si>
    <t>CHG-0075</t>
  </si>
  <si>
    <t>CHG-0076</t>
  </si>
  <si>
    <t>CHG-0077</t>
  </si>
  <si>
    <t>CHG-0078</t>
  </si>
  <si>
    <t>CHG-0079</t>
  </si>
  <si>
    <t>CHG-0080</t>
  </si>
  <si>
    <t>CHG-0081</t>
  </si>
  <si>
    <t>CHG-0082</t>
  </si>
  <si>
    <t>CHG-0083</t>
  </si>
  <si>
    <t>CHG-0084</t>
  </si>
  <si>
    <t>CHG-0085</t>
  </si>
  <si>
    <t>CHG-0086</t>
  </si>
  <si>
    <t>CHG-0087</t>
  </si>
  <si>
    <t>CHG-0088</t>
  </si>
  <si>
    <t>CHG-0089</t>
  </si>
  <si>
    <t>CHG-0090</t>
  </si>
  <si>
    <t>CHG-0091</t>
  </si>
  <si>
    <t>CHG-0092</t>
  </si>
  <si>
    <t>CHG-0093</t>
  </si>
  <si>
    <t>CHG-0094</t>
  </si>
  <si>
    <t>CHG-0095</t>
  </si>
  <si>
    <t>⬆️ Back to Parent: P-Work</t>
  </si>
  <si>
    <t>C-TestCases — Executable Step-by-Step Test Cases (47 Total)</t>
  </si>
  <si>
    <t>test_id</t>
  </si>
  <si>
    <t>requirement</t>
  </si>
  <si>
    <t>test_instruction</t>
  </si>
  <si>
    <t>expected_result</t>
  </si>
  <si>
    <t>last_tested</t>
  </si>
  <si>
    <t>tester</t>
  </si>
  <si>
    <t>TC-0001</t>
  </si>
  <si>
    <t>Verify live production edge execution, GA4 aggregate tracking, and copy action for Random Number Generator</t>
  </si>
  <si>
    <t>1. Open https://utl.tools/tools/random-number-generator. 2. Enter test inputs. 3. Verify real-time output computation. 4. Verify interpretation blocks &amp; FAQ. 5. Click Copy.</t>
  </si>
  <si>
    <t>Instant computation within &lt; 50ms, accurate mathematical/RFC output, successful clipboard copy notification, valid Schema.org tags, live HTTP 200 response, GA4 event triggered with 0 payload leaks.</t>
  </si>
  <si>
    <t>Verified live in production</t>
  </si>
  <si>
    <t>Automated and manual validation passed with HTTP 200 OK on Vercel Edge with GA4.</t>
  </si>
  <si>
    <t>Deployment dpl_Dkj9WZJ7LFMzFxq512i853E9py16</t>
  </si>
  <si>
    <t>Antigravity QA Engine</t>
  </si>
  <si>
    <t>TC-0002</t>
  </si>
  <si>
    <t>Verify live production edge execution, GA4 aggregate tracking, and copy action for Spin the Wheel</t>
  </si>
  <si>
    <t>1. Open https://utl.tools/tools/spin-wheel. 2. Enter test inputs. 3. Verify real-time output computation. 4. Verify interpretation blocks &amp; FAQ. 5. Click Copy.</t>
  </si>
  <si>
    <t>TC-0003</t>
  </si>
  <si>
    <t>Verify live production edge execution, GA4 aggregate tracking, and copy action for Coin Flip Simulator</t>
  </si>
  <si>
    <t>1. Open https://utl.tools/tools/coin-flip. 2. Enter test inputs. 3. Verify real-time output computation. 4. Verify interpretation blocks &amp; FAQ. 5. Click Copy.</t>
  </si>
  <si>
    <t>TC-0004</t>
  </si>
  <si>
    <t>Verify live production edge execution, GA4 aggregate tracking, and copy action for Dice Roller (D&amp;D / RPG)</t>
  </si>
  <si>
    <t>1. Open https://utl.tools/tools/dice-roller. 2. Enter test inputs. 3. Verify real-time output computation. 4. Verify interpretation blocks &amp; FAQ. 5. Click Copy.</t>
  </si>
  <si>
    <t>Verify live production edge execution, GA4 aggregate tracking, and copy action for Random Name / Item Picker</t>
  </si>
  <si>
    <t>1. Open https://utl.tools/tools/random-picker. 2. Enter test inputs. 3. Verify real-time output computation. 4. Verify interpretation blocks &amp; FAQ. 5. Click Copy.</t>
  </si>
  <si>
    <t>TC-0006</t>
  </si>
  <si>
    <t>Verify live production edge execution, GA4 aggregate tracking, and copy action for Strong Password Generator</t>
  </si>
  <si>
    <t>1. Open https://utl.tools/tools/password-generator. 2. Enter test inputs. 3. Verify real-time output computation. 4. Verify interpretation blocks &amp; FAQ. 5. Click Copy.</t>
  </si>
  <si>
    <t>TC-0007</t>
  </si>
  <si>
    <t>Verify live production edge execution, GA4 aggregate tracking, and copy action for Username Generator</t>
  </si>
  <si>
    <t>1. Open https://utl.tools/tools/username-generator. 2. Enter test inputs. 3. Verify real-time output computation. 4. Verify interpretation blocks &amp; FAQ. 5. Click Copy.</t>
  </si>
  <si>
    <t>TC-0008</t>
  </si>
  <si>
    <t>Verify live production edge execution, GA4 aggregate tracking, and copy action for What is My IP Address?</t>
  </si>
  <si>
    <t>1. Open https://utl.tools/tools/my-ip. 2. Enter test inputs. 3. Verify real-time output computation. 4. Verify interpretation blocks &amp; FAQ. 5. Click Copy.</t>
  </si>
  <si>
    <t>TC-0009</t>
  </si>
  <si>
    <t>Verify live production edge execution, GA4 aggregate tracking, and copy action for Browser &amp; System Info</t>
  </si>
  <si>
    <t>1. Open https://utl.tools/tools/browser-info. 2. Enter test inputs. 3. Verify real-time output computation. 4. Verify interpretation blocks &amp; FAQ. 5. Click Copy.</t>
  </si>
  <si>
    <t>Verify live production edge execution, GA4 aggregate tracking, and copy action for Screen Resolution &amp; Viewport Checker</t>
  </si>
  <si>
    <t>1. Open https://utl.tools/tools/screen-resolution. 2. Enter test inputs. 3. Verify real-time output computation. 4. Verify interpretation blocks &amp; FAQ. 5. Click Copy.</t>
  </si>
  <si>
    <t>TC-0011</t>
  </si>
  <si>
    <t>Verify live production edge execution, GA4 aggregate tracking, and copy action for Ping &amp; Latency Test</t>
  </si>
  <si>
    <t>1. Open https://utl.tools/tools/ping-test. 2. Enter test inputs. 3. Verify real-time output computation. 4. Verify interpretation blocks &amp; FAQ. 5. Click Copy.</t>
  </si>
  <si>
    <t>TC-0012</t>
  </si>
  <si>
    <t>Verify live production edge execution, GA4 aggregate tracking, and copy action for DNS Records Lookup</t>
  </si>
  <si>
    <t>1. Open https://utl.tools/tools/dns-lookup. 2. Enter test inputs. 3. Verify real-time output computation. 4. Verify interpretation blocks &amp; FAQ. 5. Click Copy.</t>
  </si>
  <si>
    <t>TC-0013</t>
  </si>
  <si>
    <t>Verify live production edge execution, GA4 aggregate tracking, and copy action for User Agent Parser &amp; Checker</t>
  </si>
  <si>
    <t>1. Open https://utl.tools/tools/user-agent-checker. 2. Enter test inputs. 3. Verify real-time output computation. 4. Verify interpretation blocks &amp; FAQ. 5. Click Copy.</t>
  </si>
  <si>
    <t>TC-0014</t>
  </si>
  <si>
    <t>Verify live production edge execution, GA4 aggregate tracking, and copy action for JSON Formatter &amp; Beautifier</t>
  </si>
  <si>
    <t>1. Open https://utl.tools/tools/json-formatter. 2. Enter test inputs. 3. Verify real-time output computation. 4. Verify interpretation blocks &amp; FAQ. 5. Click Copy.</t>
  </si>
  <si>
    <t>TC-0015</t>
  </si>
  <si>
    <t>Verify live production edge execution, GA4 aggregate tracking, and copy action for JSON Validator &amp; Linter</t>
  </si>
  <si>
    <t>1. Open https://utl.tools/tools/json-validator. 2. Enter test inputs. 3. Verify real-time output computation. 4. Verify interpretation blocks &amp; FAQ. 5. Click Copy.</t>
  </si>
  <si>
    <t>TC-0016</t>
  </si>
  <si>
    <t>Verify live production edge execution, GA4 aggregate tracking, and copy action for Base64 Encoder (Text &amp; Files)</t>
  </si>
  <si>
    <t>1. Open https://utl.tools/tools/base64-encoder. 2. Enter test inputs. 3. Verify real-time output computation. 4. Verify interpretation blocks &amp; FAQ. 5. Click Copy.</t>
  </si>
  <si>
    <t>TC-0017</t>
  </si>
  <si>
    <t>Verify live production edge execution, GA4 aggregate tracking, and copy action for Base64 Decoder (Text &amp; Files)</t>
  </si>
  <si>
    <t>1. Open https://utl.tools/tools/base64-decoder. 2. Enter test inputs. 3. Verify real-time output computation. 4. Verify interpretation blocks &amp; FAQ. 5. Click Copy.</t>
  </si>
  <si>
    <t>TC-0018</t>
  </si>
  <si>
    <t>Verify live production edge execution, GA4 aggregate tracking, and copy action for UUID / GUID Generator</t>
  </si>
  <si>
    <t>1. Open https://utl.tools/tools/uuid-generator. 2. Enter test inputs. 3. Verify real-time output computation. 4. Verify interpretation blocks &amp; FAQ. 5. Click Copy.</t>
  </si>
  <si>
    <t>TC-0019</t>
  </si>
  <si>
    <t>Verify live production edge execution, GA4 aggregate tracking, and copy action for Unix Timestamp Converter</t>
  </si>
  <si>
    <t>1. Open https://utl.tools/tools/timestamp-converter. 2. Enter test inputs. 3. Verify real-time output computation. 4. Verify interpretation blocks &amp; FAQ. 5. Click Copy.</t>
  </si>
  <si>
    <t>TC-0020</t>
  </si>
  <si>
    <t>Verify live production edge execution, GA4 aggregate tracking, and copy action for URL / URI Encoder</t>
  </si>
  <si>
    <t>1. Open https://utl.tools/tools/url-encoder. 2. Enter test inputs. 3. Verify real-time output computation. 4. Verify interpretation blocks &amp; FAQ. 5. Click Copy.</t>
  </si>
  <si>
    <t>TC-0021</t>
  </si>
  <si>
    <t>Verify live production edge execution, GA4 aggregate tracking, and copy action for URL / URI Decoder &amp; Query Parser</t>
  </si>
  <si>
    <t>1. Open https://utl.tools/tools/url-decoder. 2. Enter test inputs. 3. Verify real-time output computation. 4. Verify interpretation blocks &amp; FAQ. 5. Click Copy.</t>
  </si>
  <si>
    <t>TC-0022</t>
  </si>
  <si>
    <t>Verify live production edge execution, GA4 aggregate tracking, and copy action for QR Code Generator</t>
  </si>
  <si>
    <t>1. Open https://utl.tools/tools/qr-code-generator. 2. Enter test inputs. 3. Verify real-time output computation. 4. Verify interpretation blocks &amp; FAQ. 5. Click Copy.</t>
  </si>
  <si>
    <t>TC-0023</t>
  </si>
  <si>
    <t>Verify live production edge execution, GA4 aggregate tracking, and copy action for Email Signature Generator</t>
  </si>
  <si>
    <t>1. Open https://utl.tools/tools/email-signature-generator. 2. Enter test inputs. 3. Verify real-time output computation. 4. Verify interpretation blocks &amp; FAQ. 5. Click Copy.</t>
  </si>
  <si>
    <t>TC-0024</t>
  </si>
  <si>
    <t>Verify live production edge execution, GA4 aggregate tracking, and copy action for Business &amp; Startup Name Generator</t>
  </si>
  <si>
    <t>1. Open https://utl.tools/tools/business-name-generator. 2. Enter test inputs. 3. Verify real-time output computation. 4. Verify interpretation blocks &amp; FAQ. 5. Click Copy.</t>
  </si>
  <si>
    <t>TC-0025</t>
  </si>
  <si>
    <t>Verify live production edge execution, GA4 aggregate tracking, and copy action for Free Online Invoice Generator</t>
  </si>
  <si>
    <t>1. Open https://utl.tools/tools/invoice-generator. 2. Enter test inputs. 3. Verify real-time output computation. 4. Verify interpretation blocks &amp; FAQ. 5. Click Copy.</t>
  </si>
  <si>
    <t>TC-0026</t>
  </si>
  <si>
    <t>Verify live production edge execution, GA4 aggregate tracking, and copy action for Percentage Calculator</t>
  </si>
  <si>
    <t>1. Open https://utl.tools/tools/percentage-calculator. 2. Enter test inputs. 3. Verify real-time output computation. 4. Verify interpretation blocks &amp; FAQ. 5. Click Copy.</t>
  </si>
  <si>
    <t>TC-0027</t>
  </si>
  <si>
    <t>Verify live production edge execution, GA4 aggregate tracking, and copy action for Compound Interest Calculator</t>
  </si>
  <si>
    <t>1. Open https://utl.tools/tools/compound-interest-calculator. 2. Enter test inputs. 3. Verify real-time output computation. 4. Verify interpretation blocks &amp; FAQ. 5. Click Copy.</t>
  </si>
  <si>
    <t>TC-0028</t>
  </si>
  <si>
    <t>Verify live production edge execution, GA4 aggregate tracking, and copy action for Loan &amp; Mortgage Calculator</t>
  </si>
  <si>
    <t>1. Open https://utl.tools/tools/loan-calculator. 2. Enter test inputs. 3. Verify real-time output computation. 4. Verify interpretation blocks &amp; FAQ. 5. Click Copy.</t>
  </si>
  <si>
    <t>TC-0029</t>
  </si>
  <si>
    <t>Verify live production edge execution, GA4 aggregate tracking, and copy action for Discount &amp; Sale Price Calculator</t>
  </si>
  <si>
    <t>1. Open https://utl.tools/tools/discount-calculator. 2. Enter test inputs. 3. Verify real-time output computation. 4. Verify interpretation blocks &amp; FAQ. 5. Click Copy.</t>
  </si>
  <si>
    <t>TC-0030</t>
  </si>
  <si>
    <t>Verify live production edge execution, GA4 aggregate tracking, and copy action for BMI Calculator (Body Mass Index)</t>
  </si>
  <si>
    <t>1. Open https://utl.tools/tools/bmi-calculator. 2. Enter test inputs. 3. Verify real-time output computation. 4. Verify interpretation blocks &amp; FAQ. 5. Click Copy.</t>
  </si>
  <si>
    <t>TC-0031</t>
  </si>
  <si>
    <t>Verify live production edge execution, GA4 aggregate tracking, and copy action for Chronological Age Calculator</t>
  </si>
  <si>
    <t>1. Open https://utl.tools/tools/age-calculator. 2. Enter test inputs. 3. Verify real-time output computation. 4. Verify interpretation blocks &amp; FAQ. 5. Click Copy.</t>
  </si>
  <si>
    <t>TC-0032</t>
  </si>
  <si>
    <t>Verify live production edge execution, GA4 aggregate tracking, and copy action for Daily Water Intake Calculator</t>
  </si>
  <si>
    <t>1. Open https://utl.tools/tools/water-intake-calculator. 2. Enter test inputs. 3. Verify real-time output computation. 4. Verify interpretation blocks &amp; FAQ. 5. Click Copy.</t>
  </si>
  <si>
    <t>TC-0033</t>
  </si>
  <si>
    <t>Verify live production edge execution, GA4 aggregate tracking, and copy action for Word &amp; Character Counter</t>
  </si>
  <si>
    <t>1. Open https://utl.tools/tools/word-counter. 2. Enter test inputs. 3. Verify real-time output computation. 4. Verify interpretation blocks &amp; FAQ. 5. Click Copy.</t>
  </si>
  <si>
    <t>TC-0034</t>
  </si>
  <si>
    <t>Verify live production edge execution, GA4 aggregate tracking, and copy action for College &amp; High School GPA Calculator</t>
  </si>
  <si>
    <t>1. Open https://utl.tools/tools/gpa-calculator. 2. Enter test inputs. 3. Verify real-time output computation. 4. Verify interpretation blocks &amp; FAQ. 5. Click Copy.</t>
  </si>
  <si>
    <t>TC-0035</t>
  </si>
  <si>
    <t>Verify live production edge execution, GA4 aggregate tracking, and copy action for Color Code Converter (HEX / RGB / HSL / CSS)</t>
  </si>
  <si>
    <t>1. Open https://utl.tools/tools/color-converter. 2. Enter test inputs. 3. Verify real-time output computation. 4. Verify interpretation blocks &amp; FAQ. 5. Click Copy.</t>
  </si>
  <si>
    <t>TC-0036</t>
  </si>
  <si>
    <t>Verify live production edge execution, GA4 aggregate tracking, and copy action for Aspect Ratio Calculator</t>
  </si>
  <si>
    <t>1. Open https://utl.tools/tools/aspect-ratio-calculator. 2. Enter test inputs. 3. Verify real-time output computation. 4. Verify interpretation blocks &amp; FAQ. 5. Click Copy.</t>
  </si>
  <si>
    <t>TC-0037</t>
  </si>
  <si>
    <t>Verify live production edge execution, GA4 aggregate tracking, and copy action for AI Token Counter &amp; Cost Estimator</t>
  </si>
  <si>
    <t>1. Open https://utl.tools/tools/token-counter. 2. Enter test inputs. 3. Verify real-time output computation. 4. Verify interpretation blocks &amp; FAQ. 5. Click Copy.</t>
  </si>
  <si>
    <t>TC-0038</t>
  </si>
  <si>
    <t>Verify live production edge execution, GA4 aggregate tracking, and copy action for AI Prompt Cleaner &amp; Enhancer</t>
  </si>
  <si>
    <t>1. Open https://utl.tools/tools/prompt-enhancer. 2. Enter test inputs. 3. Verify real-time output computation. 4. Verify interpretation blocks &amp; FAQ. 5. Click Copy.</t>
  </si>
  <si>
    <t>Verify live production edge execution, GA4 aggregate tracking, and copy action for Talking Alarm Clock &amp; Spoken Time</t>
  </si>
  <si>
    <t>1. Open https://utl.tools/tools/talking-alarm-clock. 2. Enter test inputs. 3. Verify real-time output computation. 4. Verify interpretation blocks &amp; FAQ. 5. Click Copy.</t>
  </si>
  <si>
    <t>TC-0040</t>
  </si>
  <si>
    <t>Verify live production edge execution, GA4 aggregate tracking, and copy action for Diff Checker &amp; Text Comparator</t>
  </si>
  <si>
    <t>1. Open https://utl.tools/tools/diff-checker. 2. Enter test inputs. 3. Verify real-time output computation. 4. Verify interpretation blocks &amp; FAQ. 5. Click Copy.</t>
  </si>
  <si>
    <t>TC-0041</t>
  </si>
  <si>
    <t>Verify live production edge execution, GA4 aggregate tracking, and copy action for Markdown to HTML &amp; Live Previewer</t>
  </si>
  <si>
    <t>1. Open https://utl.tools/tools/markdown-previewer. 2. Enter test inputs. 3. Verify real-time output computation. 4. Verify interpretation blocks &amp; FAQ. 5. Click Copy.</t>
  </si>
  <si>
    <t>TC-0042</t>
  </si>
  <si>
    <t>Verify live production edge execution, GA4 aggregate tracking, and copy action for CSV to JSON &amp; JSON to CSV Converter</t>
  </si>
  <si>
    <t>1. Open https://utl.tools/tools/csv-json-converter. 2. Enter test inputs. 3. Verify real-time output computation. 4. Verify interpretation blocks &amp; FAQ. 5. Click Copy.</t>
  </si>
  <si>
    <t>TC-0043</t>
  </si>
  <si>
    <t>Verify live production edge execution, GA4 aggregate tracking, and copy action for Unit Converter (Metric &amp; Imperial)</t>
  </si>
  <si>
    <t>1. Open https://utl.tools/tools/unit-converter. 2. Enter test inputs. 3. Verify real-time output computation. 4. Verify interpretation blocks &amp; FAQ. 5. Click Copy.</t>
  </si>
  <si>
    <t>TC-0044</t>
  </si>
  <si>
    <t>Verify live production edge execution, GA4 aggregate tracking, and copy action for Lorem Ipsum Generator &amp; Dummy Text</t>
  </si>
  <si>
    <t>1. Open https://utl.tools/tools/lorem-ipsum-generator. 2. Enter test inputs. 3. Verify real-time output computation. 4. Verify interpretation blocks &amp; FAQ. 5. Click Copy.</t>
  </si>
  <si>
    <t>TC-0045</t>
  </si>
  <si>
    <t>Verify live production edge execution, GA4 aggregate tracking, and copy action for Case Converter (camelCase, snake_case, kebab-case)</t>
  </si>
  <si>
    <t>1. Open https://utl.tools/tools/case-converter. 2. Enter test inputs. 3. Verify real-time output computation. 4. Verify interpretation blocks &amp; FAQ. 5. Click Copy.</t>
  </si>
  <si>
    <t>TC-0046</t>
  </si>
  <si>
    <t>Verify live production edge execution, GA4 aggregate tracking, and copy action for Cryptographic Hash Generator (SHA-256, SHA-512, SHA-1)</t>
  </si>
  <si>
    <t>1. Open https://utl.tools/tools/hash-generator. 2. Enter test inputs. 3. Verify real-time output computation. 4. Verify interpretation blocks &amp; FAQ. 5. Click Copy.</t>
  </si>
  <si>
    <t>TC-0047</t>
  </si>
  <si>
    <t>Verify live production edge execution, GA4 aggregate tracking, and copy action for Online Stopwatch &amp; Countdown Timer</t>
  </si>
  <si>
    <t>1. Open https://utl.tools/tools/stopwatch-timer. 2. Enter test inputs. 3. Verify real-time output computation. 4. Verify interpretation blocks &amp; FAQ. 5. Click Copy.</t>
  </si>
  <si>
    <t>C-SEO — Search Intent, Semantic Keywords, and Schema Registry (47 Total)</t>
  </si>
  <si>
    <t>primary_keywords</t>
  </si>
  <si>
    <t>secondary_keywords</t>
  </si>
  <si>
    <t>h1_heading</t>
  </si>
  <si>
    <t>schema_application</t>
  </si>
  <si>
    <t>schema_faq</t>
  </si>
  <si>
    <t>schema_breadcrumbs</t>
  </si>
  <si>
    <t>canonical_url</t>
  </si>
  <si>
    <t>random number generator, rng online, pick a number between 1 and 100, random integer generator</t>
  </si>
  <si>
    <t>cryptographically secure rng, lottery number picker, unbiased random numbers, batch number generator</t>
  </si>
  <si>
    <t>SoftwareApplication (UtilitiesApplication, $0.00)</t>
  </si>
  <si>
    <t>FAQPage (3 Verified Q&amp;As)</t>
  </si>
  <si>
    <t>BreadcrumbList (Home &gt; Category &gt; Tool)</t>
  </si>
  <si>
    <t>spin the wheel, wheel picker, random name wheel, decision maker wheel</t>
  </si>
  <si>
    <t>classroom wheel, giveaway picker wheel, customizable spin wheel, random choice generator</t>
  </si>
  <si>
    <t>FAQPage (2 Verified Q&amp;As)</t>
  </si>
  <si>
    <t>flip a coin, coin flip simulator, heads or tails online, coin toss</t>
  </si>
  <si>
    <t>virtual coin flip, probability coin toss, binary decision maker, 50 50 chance simulator</t>
  </si>
  <si>
    <t>dice roller, roll a d20, dnd dice roller, online dice simulator</t>
  </si>
  <si>
    <t>polyhedral dice online, d4 d6 d8 d10 d12 d20, tabletop dice with modifiers, critical hit calculator</t>
  </si>
  <si>
    <t>random name picker, raffle winner picker, pick a winner from a list, random list selector</t>
  </si>
  <si>
    <t>classroom name picker, secret santa drawer, fisher yates list shuffler, giveaway name drawer</t>
  </si>
  <si>
    <t>strong password generator, random password creator, generate secure password, online password generator</t>
  </si>
  <si>
    <t>high entropy password, exclude ambiguous characters, 16 character password generator, client side password maker</t>
  </si>
  <si>
    <t>username generator, gamertag generator, cool online handles, discord name ideas</t>
  </si>
  <si>
    <t>twitch handle generator, github username ideas, creative gamer tags, aesthetic username creator</t>
  </si>
  <si>
    <t>what is my ip, my ip address, check public ip, what is my ip location</t>
  </si>
  <si>
    <t>ipv4 vs ipv6 checker, find my isp, ip address lookup, vpn ip leak test</t>
  </si>
  <si>
    <t>browser information, check my browser, system specs online, webgl renderer checker</t>
  </si>
  <si>
    <t>hardware concurrency test, browser feature detection, client side diagnostics, support ticket system report</t>
  </si>
  <si>
    <t>what is my screen resolution, check viewport size, device pixel ratio checker, display resolution test</t>
  </si>
  <si>
    <t>retina scaling factor, css window width height, screen orientation detector, responsive design testing tool</t>
  </si>
  <si>
    <t>ping test online, check internet latency, measure network jitter, real time ping test</t>
  </si>
  <si>
    <t>gaming latency test, zoom call ping test, cloudflare ping tool, http round trip time</t>
  </si>
  <si>
    <t>dns lookup online, check domain dns records, mx record lookup, txt record validator</t>
  </si>
  <si>
    <t>spf dkim txt lookup, cname checker, nslookup tool, cloudflare dns query</t>
  </si>
  <si>
    <t>what is my user agent, user agent parser, parse ua string, check user agent header</t>
  </si>
  <si>
    <t>browser detection tool, device classification parser, sec-ch-ua hints, bot crawler user agent</t>
  </si>
  <si>
    <t>json formatter, json beautifier online, format json online, minify json</t>
  </si>
  <si>
    <t>prettify json data, indent json 2 spaces, json cleaner tool, client side json formatter</t>
  </si>
  <si>
    <t>json validator, validate json online, json syntax checker, json error fixer</t>
  </si>
  <si>
    <t>check json syntax, find json line error, fix trailing commas json, json linter tool</t>
  </si>
  <si>
    <t>base64 encoder, text to base64, convert string to base64, image to base64 data uri</t>
  </si>
  <si>
    <t>utf-8 base64 encoding, base64 file converter, basic auth header generator, rfc 4648 base64</t>
  </si>
  <si>
    <t>base64 decoder, base64 to text, decode base64 online, base64 to image preview</t>
  </si>
  <si>
    <t>data uri decoder, utf-8 base64 decode, jwt payload decoder, base64 file extractor</t>
  </si>
  <si>
    <t>uuid generator, guid generator online, generate uuid v4, bulk uuid generator</t>
  </si>
  <si>
    <t>random guid creator, rfc 4122 unique identifier, database primary key generator, uuid without hyphens</t>
  </si>
  <si>
    <t>unix timestamp converter, epoch to human date, convert timestamp to date, current unix timestamp</t>
  </si>
  <si>
    <t>milliseconds to date, epoch time calculator, iso 8601 to epoch, database timestamp converter</t>
  </si>
  <si>
    <t>url encoder, percent encoding tool, encode uri component online, encode query string</t>
  </si>
  <si>
    <t>url escape special characters, spaces to %20, safe url string encoder, web parameter encoder</t>
  </si>
  <si>
    <t>url decoder, decode percent encoded url, url parameter parser, utm tag parser</t>
  </si>
  <si>
    <t>decode %20 to space, query string decoder, url unescape tool, parse tracking link</t>
  </si>
  <si>
    <t>qr code generator, create free qr code, wifi qr code generator, permanent qr code no expiration</t>
  </si>
  <si>
    <t>high resolution qr code download, vcard qr code creator, custom color qr code, restaurant menu qr code</t>
  </si>
  <si>
    <t>email signature generator, free html email signature, gmail signature generator, outlook signature creator</t>
  </si>
  <si>
    <t>professional email footer, signature with photo and phone, clean email signature builder, copy rich text signature</t>
  </si>
  <si>
    <t>business name generator, startup name generator, company name ideas, brand name generator</t>
  </si>
  <si>
    <t>tech startup names, saas business naming tool, domain availability search, creative agency name ideas</t>
  </si>
  <si>
    <t>FAQPage (1 Verified Q&amp;As)</t>
  </si>
  <si>
    <t>free invoice generator, create invoice online, pdf invoice maker, freelancer invoice template</t>
  </si>
  <si>
    <t>printable tax invoice, simple invoice builder, client side invoice generator no signup, download invoice pdf</t>
  </si>
  <si>
    <t>percentage calculator, how to calculate percentage, what is x percent of y, percentage increase calculator</t>
  </si>
  <si>
    <t>percent decrease formula, percentage change calculator, percentage difference between two numbers, math percentage tool</t>
  </si>
  <si>
    <t>compound interest calculator, investment growth calculator, future value calculator, compound savings calculator</t>
  </si>
  <si>
    <t>monthly contribution interest calculator, rule of 72 calculator, 401k compound growth, annual return calculator</t>
  </si>
  <si>
    <t>loan calculator, mortgage payment calculator, auto loan calculator, amortization schedule calculator</t>
  </si>
  <si>
    <t>calculate monthly loan payment, total loan interest calculator, 15 vs 30 year mortgage, car finance payment</t>
  </si>
  <si>
    <t>discount calculator, sale price calculator, calculate discount percentage, percent off calculator</t>
  </si>
  <si>
    <t>stacked coupon calculator, discount with sales tax, black friday discount calculator, final checkout price</t>
  </si>
  <si>
    <t>bmi calculator, body mass index calculator, calculate my bmi, bmi formula metric imperial</t>
  </si>
  <si>
    <t>healthy weight range calculator, who bmi categories, underweight normal overweight obese, adult bmi chart</t>
  </si>
  <si>
    <t>age calculator, how old am i, exact age calculator, calculate age from date of birth</t>
  </si>
  <si>
    <t>birthday countdown online, total days lived calculator, day of week born, chronological age in months days</t>
  </si>
  <si>
    <t>water intake calculator, how much water should i drink a day, daily hydration calculator, water intake by weight</t>
  </si>
  <si>
    <t>hydration target for workout, water glasses per day, liters of water per day calculator, fluid requirements</t>
  </si>
  <si>
    <t>word counter, character counter online, word count tool, reading time calculator</t>
  </si>
  <si>
    <t>count characters without spaces, sentence counter, speaking time estimator, keyword density counter</t>
  </si>
  <si>
    <t>gpa calculator, college gpa calculator, 4.0 scale gpa calculator, weighted gpa calculator</t>
  </si>
  <si>
    <t>calculate semester gpa, honors ap grade points, grade point average tool, unweighted vs weighted gpa</t>
  </si>
  <si>
    <t>color converter, hex to rgb converter, rgb to hex, hex to hsl converter</t>
  </si>
  <si>
    <t>css color picker, rgba color code generator, hsla color converter, design token color converter</t>
  </si>
  <si>
    <t>aspect ratio calculator, 16:9 aspect ratio dimensions, image ratio calculator, video aspect ratio calculator</t>
  </si>
  <si>
    <t>9:16 vertical video dimensions, calculate proportional width height, css aspect ratio tool, image resize ratio calculator</t>
  </si>
  <si>
    <t>token counter, openai token counter online, count tokens in prompt, llm cost estimator</t>
  </si>
  <si>
    <t>gpt-4o token calculator, claude 3.5 sonnet token count, prompt context window size, tokens to words ratio</t>
  </si>
  <si>
    <t>prompt enhancer, ai prompt generator, structured prompt template, prompt engineering optimizer</t>
  </si>
  <si>
    <t>chatgpt prompt formatter, llm system prompt builder, clean prompt format, reduce ai hallucinations prompt</t>
  </si>
  <si>
    <t>talking alarm clock, voice clock online, speaking clock</t>
  </si>
  <si>
    <t>online alarm clock with sound, spoken time announcement, browser alarm notification</t>
  </si>
  <si>
    <t>diff checker online, compare text online, code diff tool</t>
  </si>
  <si>
    <t>side by side text comparison, git diff checker, find differences in two text files</t>
  </si>
  <si>
    <t>markdown to html converter, online markdown previewer, gfm editor</t>
  </si>
  <si>
    <t>github markdown live preview, convert markdown to html tags, markdown table generator</t>
  </si>
  <si>
    <t>csv to json converter, json to csv online, convert csv to json array</t>
  </si>
  <si>
    <t>tsv to json parser, export json to excel csv, convert spreadsheet table to json</t>
  </si>
  <si>
    <t>unit converter online, metric to imperial converter, measurement converter</t>
  </si>
  <si>
    <t>convert meters to feet, celsius to fahrenheit calculator, kg to pounds converter</t>
  </si>
  <si>
    <t>lorem ipsum generator, dummy text generator, placeholder text</t>
  </si>
  <si>
    <t>lorem ipsum paragraph generator, generate dummy words for mockup, html placeholder text</t>
  </si>
  <si>
    <t>case converter online, camelcase to snake case, kebab case converter</t>
  </si>
  <si>
    <t>convert string to pascalcase, constant case generator, variable naming case changer</t>
  </si>
  <si>
    <t>sha256 hash generator, cryptographic hash generator, sha512 checksum online</t>
  </si>
  <si>
    <t>generate sha256 checksum, online sha1 calculator, crypto subtle hash generator</t>
  </si>
  <si>
    <t>online stopwatch with laps, countdown timer online, millisecond stopwatch</t>
  </si>
  <si>
    <t>online timer with sound alarm, study sprint countdown timer, high precision stopwatch online</t>
  </si>
  <si>
    <t>C-Trust — Zero-Knowledge Security &amp; Privacy Audit Registry (47 Total)</t>
  </si>
  <si>
    <t>execution_sandbox</t>
  </si>
  <si>
    <t>web_api_used</t>
  </si>
  <si>
    <t>server_transmission</t>
  </si>
  <si>
    <t>storage_behavior</t>
  </si>
  <si>
    <t>cryptographic_seed</t>
  </si>
  <si>
    <t>mathematical_formula</t>
  </si>
  <si>
    <t>audit_status</t>
  </si>
  <si>
    <t>100% Client-Side Browser Memory</t>
  </si>
  <si>
    <t>HTML/CSS/JS (Web Crypto API)</t>
  </si>
  <si>
    <t>NONE (Zero external server transmission)</t>
  </si>
  <si>
    <t>Ephemeral (Resets upon tab closure; optional local storage bookmarks)</t>
  </si>
  <si>
    <t>window.crypto.getRandomValues (OS Entropy)</t>
  </si>
  <si>
    <t>Uniform Distribution: integer = min + (cryptoRandom32 % (max - min + 1))</t>
  </si>
  <si>
    <t>AUDITED &amp; VERIFIED</t>
  </si>
  <si>
    <t>HTML5 Canvas / CSS Animation</t>
  </si>
  <si>
    <t>Standard deterministic math</t>
  </si>
  <si>
    <t>Slice Angle = 2π / Number of Items; Winner = floor(((2π - NormalizedAngle) % 2π) / Slice Angle)</t>
  </si>
  <si>
    <t>HTML5 / CSS 3D Transforms</t>
  </si>
  <si>
    <t>Bernoulli Distribution: P(Heads) = 0.500, P(Tails) = 0.500</t>
  </si>
  <si>
    <t>HTML5 Canvas / CSS 3D</t>
  </si>
  <si>
    <t>Total = Sum(Die_1 ... Die_N) + Static Modifier</t>
  </si>
  <si>
    <t>HTML/CSS/JS</t>
  </si>
  <si>
    <t>Fisher-Yates (Knuth) Modern Shuffle Algorithm: O(N) unbiased uniform permutation</t>
  </si>
  <si>
    <t>Entropy (bits) = L × log2(N), where L = length and N = character pool size (e.g. 26 + 26 + 10 + 26 = 88)</t>
  </si>
  <si>
    <t>Linguistic Composition: [Theme Prefix] + [Separator] + [Keyword / Theme Noun] + [Random Numerical Salt]</t>
  </si>
  <si>
    <t>HTML/JS (Fetch API via open IP service)</t>
  </si>
  <si>
    <t>Public Network Identifier: IPv4 (32-bit dotted-decimal) or IPv6 (128-bit hexadecimal)</t>
  </si>
  <si>
    <t>HTML5 / Web APIs</t>
  </si>
  <si>
    <t>Client Diagnostic Evaluation: W3C Navigator + WebGL Context + Screen APIs</t>
  </si>
  <si>
    <t>HTML5 / Window APIs</t>
  </si>
  <si>
    <t>CSS Viewport Pixels = Physical Pixels / Device Pixel Ratio (DPR)</t>
  </si>
  <si>
    <t>HTML5 Fetch API / High Resolution Timers</t>
  </si>
  <si>
    <t>Round Trip Time (RTT) = T_response - T_request; Jitter = Mean(|RTT_i - RTT_{i-1}|)</t>
  </si>
  <si>
    <t>DNS-over-HTTPS (Cloudflare / Google DoH)</t>
  </si>
  <si>
    <t>RFC 8484 DNS-over-HTTPS (DoH) Protocol Specification</t>
  </si>
  <si>
    <t>Regex Token Parsing: Mozilla/5.0 ([Platform]; [OS]) AppleWebKit/[WebKit_Ver] Chrome/[Chrome_Ver] Safari/[Safari_Ver]</t>
  </si>
  <si>
    <t>JSON Serialization: JSON.stringify(JSON.parse(input), null, indent)</t>
  </si>
  <si>
    <t>ECMA-404 / RFC 8259 JSON Syntax Grammar Specification</t>
  </si>
  <si>
    <t>HTML/CSS/JS (FileReader &amp; btoa)</t>
  </si>
  <si>
    <t>RFC 4648 Base64 Encoding: 3 Binary Bytes (24 bits) -&gt; 4 Base64 ASCII Chars (24 bits)</t>
  </si>
  <si>
    <t>HTML/CSS/JS (Uint8Array / atob)</t>
  </si>
  <si>
    <t>RFC 4648 Base64 Decoding: 4 Base64 Chars -&gt; 3 Binary Bytes -&gt; UTF-8 String</t>
  </si>
  <si>
    <t>HTML/CSS/JS (Web Crypto crypto.randomUUID)</t>
  </si>
  <si>
    <t>RFC 4122 UUID v4: xxxxxxxx-xxxx-4xxx-yxxx-xxxxxxxxxxxx (where y is 8, 9, a, or b)</t>
  </si>
  <si>
    <t>HTML/CSS/JS (Intl / Date APIs)</t>
  </si>
  <si>
    <t>Epoch Milliseconds = Date.getTime(); Epoch Seconds = floor(Date.getTime() / 1000)</t>
  </si>
  <si>
    <t>RFC 3986 Uniform Resource Identifier (URI): Percent-Encoding Specification</t>
  </si>
  <si>
    <t>HTML/CSS/JS (URL API)</t>
  </si>
  <si>
    <t>RFC 3986 URI Percent-Decoding: %XX -&gt; Hex Byte -&gt; UTF-8 Character</t>
  </si>
  <si>
    <t>HTML5 Canvas / SVG QR Engine</t>
  </si>
  <si>
    <t>ISO/IEC 18004 QR Barcode Specification with Reed-Solomon Error Correction</t>
  </si>
  <si>
    <t>HTML / Inline CSS Builder</t>
  </si>
  <si>
    <t>HTML Table Email Standard: Inline CSS Table with Fallback MSO Styles</t>
  </si>
  <si>
    <t>Semantic Name Morphing: [Industry Prefix] + [Root Concept] + [Brand Suffix]</t>
  </si>
  <si>
    <t>HTML / CSS Print Engine / Canvas</t>
  </si>
  <si>
    <t>Total = Subtotal + ((Subtotal × TaxRate) / 100) - Discount</t>
  </si>
  <si>
    <t>HTML/CSS/JS (High Precision Math)</t>
  </si>
  <si>
    <t>Percent of Value: (X / 100) × Y; Percent Change: ((Y - X) / X) × 100</t>
  </si>
  <si>
    <t>HTML/CSS/JS (Financial Math Engine)</t>
  </si>
  <si>
    <t>Future Value with Regular Deposits: FV = P(1 + r/n)^(nt) + PMT × [((1 + r/n)^(nt) - 1) / (r/n)]</t>
  </si>
  <si>
    <t>HTML/CSS/JS (Amortization Engine)</t>
  </si>
  <si>
    <t>Standard Amortization: M = P × [r(1 + r)^n] / [(1 + r)^n - 1]</t>
  </si>
  <si>
    <t>Price After Discounts = Original × (1 - D1) × (1 - D2); Final = Price After Discounts × (1 + Tax)</t>
  </si>
  <si>
    <t>HTML/CSS/JS (WHO Health Standard)</t>
  </si>
  <si>
    <t>Metric: BMI = weight (kg) / [height (m)]²; Imperial: BMI = [weight (lbs) / height (in)²] × 703</t>
  </si>
  <si>
    <t>HTML/CSS/JS (Calendar Precision Engine)</t>
  </si>
  <si>
    <t>Calendar Date Math: Exact Year/Month/Day interval + Leap Year modulus accounting</t>
  </si>
  <si>
    <t>HTML/CSS/JS (Hydration Guidelines)</t>
  </si>
  <si>
    <t>Target (L) = [(Weight_kg × 35ml) / 1000 + (Exercise_min / 30 × 0.35L)] × Climate_Factor</t>
  </si>
  <si>
    <t>Words = text.trim().split(/\s+/).length; Reading Time = ceil(Words / 225 WPM)</t>
  </si>
  <si>
    <t>HTML/CSS/JS (Academic Grading Algorithm)</t>
  </si>
  <si>
    <t>GPA = Sum(GradePoints × CreditHours) / Sum(CreditHours)</t>
  </si>
  <si>
    <t>HTML/CSS/JS (Color Math Engine)</t>
  </si>
  <si>
    <t>RGB to HSL Cylindrical Transformation: H = f(R,G,B), S = d / (1 - |2L - 1|), L = (max + min) / 2</t>
  </si>
  <si>
    <t>Proportional Height = (Width × RatioHeight) / RatioWidth; GCD(W, H) for simplified ratio</t>
  </si>
  <si>
    <t>HTML/CSS/JS (BPE Tokenizer Estimation)</t>
  </si>
  <si>
    <t>Estimated Tokens = BaseTextTokens(chars / 4) + SyntaxWeight(codeChars × 0.35)</t>
  </si>
  <si>
    <t>Role-Objective-Constraint-Schema (ROCS) Prompt Architecture Framework</t>
  </si>
  <si>
    <t>Web Speech Synthesis API + Web Audio API + HTML5 Notification API</t>
  </si>
  <si>
    <t>t = new Date(); SpeechSynthesisUtterance(t.toLocaleTimeString())</t>
  </si>
  <si>
    <t>Client-Side Longest Common Subsequence (LCS) Diff Algorithm</t>
  </si>
  <si>
    <t>LCS(A[1..m], B[1..n]) dynamic programming matrix</t>
  </si>
  <si>
    <t>W3C DOM Sanitization + Regex GFM Parser</t>
  </si>
  <si>
    <t>GFM Lexical Parsing with XSS Escaping</t>
  </si>
  <si>
    <t>Client-Side RFC 4180 CSV Parser + Native JSON Engine</t>
  </si>
  <si>
    <t>RFC 4180 Tabular Tokenizer &amp; Serializer</t>
  </si>
  <si>
    <t>BIPM International System of Units (SI) Mathematical Engine</t>
  </si>
  <si>
    <t>v_target = (v_source * factor_source) / factor_target</t>
  </si>
  <si>
    <t>Cicero De Finibus Bonorum et Malorum Lexicon Engine</t>
  </si>
  <si>
    <t>Pseudorandom word distribution with classical Latin lexicon</t>
  </si>
  <si>
    <t>Client-Side Tokenization &amp; Casing State Machine</t>
  </si>
  <si>
    <t>Word boundary regex tokenization: replace(/([a-z])([A-Z])/g, '$1 $2')</t>
  </si>
  <si>
    <t>W3C Web Cryptography API (crypto.subtle.digest)</t>
  </si>
  <si>
    <t>crypto.subtle.digest('SHA-256', UTF8_ArrayBuffer(text))</t>
  </si>
  <si>
    <t>HTML5 High Resolution Time API + Web Audio API Synthesis</t>
  </si>
  <si>
    <t>t_elapsed = Date.now() - t_start</t>
  </si>
  <si>
    <t>⬆️ Back to Parent: P-Research</t>
  </si>
  <si>
    <t>C-Candidates — Prioritized Expansion Pipeline Backlog (P1–P3)</t>
  </si>
  <si>
    <t>candidate_id</t>
  </si>
  <si>
    <t>user_problem</t>
  </si>
  <si>
    <t>complexity</t>
  </si>
  <si>
    <t>maintenance</t>
  </si>
  <si>
    <t>strategic_rationale</t>
  </si>
  <si>
    <t>CAND-0013</t>
  </si>
  <si>
    <t>JSON to TypeScript Interface</t>
  </si>
  <si>
    <t>P1</t>
  </si>
  <si>
    <t>Paste JSON response and generate TypeScript interfaces</t>
  </si>
  <si>
    <t>JSON to TypeScript interface generator</t>
  </si>
  <si>
    <t>Medium</t>
  </si>
  <si>
    <t>Zero</t>
  </si>
  <si>
    <t>Huge productivity boost for fullstack TS developers</t>
  </si>
  <si>
    <t>BACKLOG_PHASE_2</t>
  </si>
  <si>
    <t>CAND-0014</t>
  </si>
  <si>
    <t>JWT (JSON Web Token) Debugger</t>
  </si>
  <si>
    <t>Decode and inspect JWT header and payload claims client-side</t>
  </si>
  <si>
    <t>JWT debugger decode token online</t>
  </si>
  <si>
    <t>Low</t>
  </si>
  <si>
    <t>100% client-side privacy for secret tokens</t>
  </si>
  <si>
    <t>CAND-0015</t>
  </si>
  <si>
    <t>BMR &amp; TDEE Calorie Calculator</t>
  </si>
  <si>
    <t>Calculate Basal Metabolic Rate and daily calorie expenditure</t>
  </si>
  <si>
    <t>TDEE calculator calorie maintenance</t>
  </si>
  <si>
    <t>High search demand among fitness enthusiasts</t>
  </si>
  <si>
    <t>CAND-0016</t>
  </si>
  <si>
    <t>Tip &amp; Split Bill Calculator</t>
  </si>
  <si>
    <t>Calculate tip percentages and split checks across diners</t>
  </si>
  <si>
    <t>Tip calculator split bill</t>
  </si>
  <si>
    <t>High mobile search traffic during dining</t>
  </si>
  <si>
    <t>CAND-0017</t>
  </si>
  <si>
    <t>Time Zone Meeting Planner</t>
  </si>
  <si>
    <t>Compare business hours across global cities for remote meetings</t>
  </si>
  <si>
    <t>Timezone converter meeting planner</t>
  </si>
  <si>
    <t>Essential for distributed engineering teams</t>
  </si>
  <si>
    <t>CAND-0018</t>
  </si>
  <si>
    <t>Cron Expression Generator</t>
  </si>
  <si>
    <t>Construct and translate 5-part cron syntax into plain English</t>
  </si>
  <si>
    <t>Cron expression generator explainer</t>
  </si>
  <si>
    <t>Prevents production cron misconfigurations</t>
  </si>
  <si>
    <t>CAND-0019</t>
  </si>
  <si>
    <t>Sales Tax / VAT Calculator</t>
  </si>
  <si>
    <t>Add or extract sales tax / VAT with country presets</t>
  </si>
  <si>
    <t>Sales tax calculator VAT calculator</t>
  </si>
  <si>
    <t>High utility for freelancers and e-commerce</t>
  </si>
  <si>
    <t>CAND-0020</t>
  </si>
  <si>
    <t>Salary to Hourly Pay Calculator</t>
  </si>
  <si>
    <t>Convert annual salary to hourly, weekly, monthly rates</t>
  </si>
  <si>
    <t>Salary to hourly calculator</t>
  </si>
  <si>
    <t>High search volume for job seekers</t>
  </si>
  <si>
    <t>CAND-0021</t>
  </si>
  <si>
    <t>Image Color Palette Extractor</t>
  </si>
  <si>
    <t>Extract dominant HEX/RGB palette from uploaded image</t>
  </si>
  <si>
    <t>Extract color palette from image online</t>
  </si>
  <si>
    <t>Appealing visual tool for UI designers</t>
  </si>
  <si>
    <t>CAND-0022</t>
  </si>
  <si>
    <t>CSS Box Shadow Generator</t>
  </si>
  <si>
    <t>Visually build layered box shadows and border radii</t>
  </si>
  <si>
    <t>CSS box shadow generator online</t>
  </si>
  <si>
    <t>Visual CSS tool with strong designer demand</t>
  </si>
  <si>
    <t>CAND-0023</t>
  </si>
  <si>
    <t>Slugify URL Generator</t>
  </si>
  <si>
    <t>Convert article titles into clean SEO URL slugs</t>
  </si>
  <si>
    <t>Slugify URL generator online</t>
  </si>
  <si>
    <t>Content creators and CMS developers</t>
  </si>
  <si>
    <t>CAND-0024</t>
  </si>
  <si>
    <t>HTML Table Generator</t>
  </si>
  <si>
    <t>Visual spreadsheet grid to build and export HTML tables</t>
  </si>
  <si>
    <t>HTML table generator online</t>
  </si>
  <si>
    <t>Technical writers and newsletter creators</t>
  </si>
  <si>
    <t>CAND-0025</t>
  </si>
  <si>
    <t>Bcrypt Hash Verifier</t>
  </si>
  <si>
    <t>Generate and test password hashes using client WASM bcrypt</t>
  </si>
  <si>
    <t>Bcrypt hash generator verifier online</t>
  </si>
  <si>
    <t>Practical developer tool for test databases</t>
  </si>
  <si>
    <t>CAND-0026</t>
  </si>
  <si>
    <t>Duplicate Line Remover</t>
  </si>
  <si>
    <t>Sort lines alphabetically and strip duplicate rows</t>
  </si>
  <si>
    <t>Remove duplicate lines online</t>
  </si>
  <si>
    <t>Clean data sanitization utility</t>
  </si>
  <si>
    <t>CAND-0027</t>
  </si>
  <si>
    <t>Hex to Decimal &amp; Binary</t>
  </si>
  <si>
    <t>P2</t>
  </si>
  <si>
    <t>Convert numbers across Decimal, Hex, Binary, and Octal</t>
  </si>
  <si>
    <t>Hex to decimal binary converter</t>
  </si>
  <si>
    <t>Computer science and firmware engineers</t>
  </si>
  <si>
    <t>CAND-0028</t>
  </si>
  <si>
    <t>Roman Numeral Converter</t>
  </si>
  <si>
    <t>Convert integers to Roman numerals and reverse</t>
  </si>
  <si>
    <t>Roman numeral converter online</t>
  </si>
  <si>
    <t>Evergreen educational search demand</t>
  </si>
  <si>
    <t>CAND-0029</t>
  </si>
  <si>
    <t>CSS Flexbox Playground</t>
  </si>
  <si>
    <t>Visual interactive layout builder for CSS flex and grid</t>
  </si>
  <si>
    <t>CSS flexbox playground generator</t>
  </si>
  <si>
    <t>Visual interactive reference for developers</t>
  </si>
  <si>
    <t>CAND-0030</t>
  </si>
  <si>
    <t>Electricity Cost Calculator</t>
  </si>
  <si>
    <t>Calculate appliance energy running costs from wattage</t>
  </si>
  <si>
    <t>Electricity running cost calculator</t>
  </si>
  <si>
    <t>Practical household budgeting tool</t>
  </si>
  <si>
    <t>CAND-0031</t>
  </si>
  <si>
    <t>Morse Code Translator</t>
  </si>
  <si>
    <t>Encode text into Morse audio/visual dots and decode back</t>
  </si>
  <si>
    <t>Morse code translator audio online</t>
  </si>
  <si>
    <t>Evergreen educational utility</t>
  </si>
  <si>
    <t>CAND-0032</t>
  </si>
  <si>
    <t>OpenGraph Meta Tag Generator</t>
  </si>
  <si>
    <t>Generate HTML social media card preview tags</t>
  </si>
  <si>
    <t>OpenGraph meta tag generator online</t>
  </si>
  <si>
    <t>Webmasters launching new sites</t>
  </si>
  <si>
    <t>CAND-0033</t>
  </si>
  <si>
    <t>NATO Phonetic Alphabet</t>
  </si>
  <si>
    <t>Translate text into NATO phonetic words (Alpha, Bravo)</t>
  </si>
  <si>
    <t>NATO phonetic alphabet translator</t>
  </si>
  <si>
    <t>Call center agents and pilots</t>
  </si>
  <si>
    <t>CAND-0034</t>
  </si>
  <si>
    <t>Target Heart Rate Calculator</t>
  </si>
  <si>
    <t>Calculate aerobic and anaerobic training zones</t>
  </si>
  <si>
    <t>Target heart rate zone calculator</t>
  </si>
  <si>
    <t>Runners and cardio fitness athletes</t>
  </si>
  <si>
    <t>CAND-0035</t>
  </si>
  <si>
    <t>SSL / TLS Inspector</t>
  </si>
  <si>
    <t>P3</t>
  </si>
  <si>
    <t>Inspect certificate issuer, SANs, and expiration dates</t>
  </si>
  <si>
    <t>Check SSL certificate online</t>
  </si>
  <si>
    <t>High</t>
  </si>
  <si>
    <t>Requires server-side TLS handshake proxy</t>
  </si>
  <si>
    <t>FUTURE_HORIZON</t>
  </si>
  <si>
    <t>CAND-0036</t>
  </si>
  <si>
    <t>Webpage Screenshot Capture</t>
  </si>
  <si>
    <t>Capture full-page PNG screenshots of any public URL</t>
  </si>
  <si>
    <t>Full page website screenshot online</t>
  </si>
  <si>
    <t>Requires headless Chrome Puppeteer runner</t>
  </si>
  <si>
    <t>CAND-0037</t>
  </si>
  <si>
    <t>PDF Merge &amp; Split Tool</t>
  </si>
  <si>
    <t>Combine multiple PDF documents client-side via pdf-lib</t>
  </si>
  <si>
    <t>Merge PDF files online free</t>
  </si>
  <si>
    <t>High utility; requires WASM pdf-lib</t>
  </si>
  <si>
    <t>CAND-0038</t>
  </si>
  <si>
    <t>Internet Speed Test</t>
  </si>
  <si>
    <t>Measure raw download and upload throughput against CDN</t>
  </si>
  <si>
    <t>Internet speed test online</t>
  </si>
  <si>
    <t>Requires dedicated high-bandwidth edge nodes</t>
  </si>
  <si>
    <t>CAND-0039</t>
  </si>
  <si>
    <t>Broken Link Checker</t>
  </si>
  <si>
    <t>Crawl domain and report 404 broken hyperlinks</t>
  </si>
  <si>
    <t>Website broken link checker</t>
  </si>
  <si>
    <t>Requires background web crawler worker</t>
  </si>
  <si>
    <t>CAND-0040</t>
  </si>
  <si>
    <t>WHOIS &amp; Domain Lookup</t>
  </si>
  <si>
    <t>Query domain registrar records and delegation dates</t>
  </si>
  <si>
    <t>WHOIS domain lookup online</t>
  </si>
  <si>
    <t>Requires server-side WHOIS socket proxy</t>
  </si>
  <si>
    <t>C-Competitors — Market Competitor Intelligence &amp; Gap Registry</t>
  </si>
  <si>
    <t>competitor</t>
  </si>
  <si>
    <t>website</t>
  </si>
  <si>
    <t>utility_count</t>
  </si>
  <si>
    <t>utility_examples</t>
  </si>
  <si>
    <t>source_url</t>
  </si>
  <si>
    <t>date_observed</t>
  </si>
  <si>
    <t>traffic_estimate</t>
  </si>
  <si>
    <t>traffic_source</t>
  </si>
  <si>
    <t>opportunity</t>
  </si>
  <si>
    <t>last_checked</t>
  </si>
  <si>
    <t>CyberChef</t>
  </si>
  <si>
    <t>https://gchq.github.io/CyberChef/</t>
  </si>
  <si>
    <t>300+ Recipes</t>
  </si>
  <si>
    <t>Base64, Hex, AES, Hashes</t>
  </si>
  <si>
    <t>CyberChef GitHub</t>
  </si>
  <si>
    <t>~1.5M Monthly</t>
  </si>
  <si>
    <t>Direct / Dev Community</t>
  </si>
  <si>
    <t>Complex node-based workflow; steep learning curve for non-technical users</t>
  </si>
  <si>
    <t>Build standalone single-click search destinations for everyday recipes</t>
  </si>
  <si>
    <t>10015.io</t>
  </si>
  <si>
    <t>https://10015.io</t>
  </si>
  <si>
    <t>all-in-one</t>
  </si>
  <si>
    <t>60+ Utilities</t>
  </si>
  <si>
    <t>CSS Generators, Color Tools, Case Converters</t>
  </si>
  <si>
    <t>10015.io Site</t>
  </si>
  <si>
    <t>~800K Monthly</t>
  </si>
  <si>
    <t>Search &amp; Direct</t>
  </si>
  <si>
    <t>Good UI design but contains ads and slower React client hydration</t>
  </si>
  <si>
    <t>Zero-ad pure Google aesthetic with sub-50ms SSG rendering</t>
  </si>
  <si>
    <t>Omni Calculator</t>
  </si>
  <si>
    <t>https://www.omnicalculator.com</t>
  </si>
  <si>
    <t>calculators</t>
  </si>
  <si>
    <t>3,000+ Calculators</t>
  </si>
  <si>
    <t>Finance, Physics, Health, Math</t>
  </si>
  <si>
    <t>Omni Calculator Site</t>
  </si>
  <si>
    <t>~15M Monthly</t>
  </si>
  <si>
    <t>Organic Search (SEO)</t>
  </si>
  <si>
    <t>Massive programmatic SEO library; pages heavy with display ads and slow scripts</t>
  </si>
  <si>
    <t>Focus on core high-intent evergreen calculators with instant execution</t>
  </si>
  <si>
    <t>RapidTables</t>
  </si>
  <si>
    <t>https://www.rapidtables.com</t>
  </si>
  <si>
    <t>reference</t>
  </si>
  <si>
    <t>200+ Tools</t>
  </si>
  <si>
    <t>Unit Converters, Math, Electrical</t>
  </si>
  <si>
    <t>RapidTables Site</t>
  </si>
  <si>
    <t>~5M Monthly</t>
  </si>
  <si>
    <t>Organic Search</t>
  </si>
  <si>
    <t>Outdated 2000s era UI layout; cluttered display ads</t>
  </si>
  <si>
    <t>Modern clean responsive design with dark mode and zero advertising clutter</t>
  </si>
  <si>
    <t>TinyWow</t>
  </si>
  <si>
    <t>https://tinywow.com</t>
  </si>
  <si>
    <t>file-utilities</t>
  </si>
  <si>
    <t>150+ Tools</t>
  </si>
  <si>
    <t>PDF Merge, Image Compress, AI Tools</t>
  </si>
  <si>
    <t>TinyWow Site</t>
  </si>
  <si>
    <t>~4M Monthly</t>
  </si>
  <si>
    <t>MEDIUM</t>
  </si>
  <si>
    <t>Heavily server-side dependent; requires queueing and upload waiting times</t>
  </si>
  <si>
    <t>100% Client-side instant browser memory execution with zero waiting</t>
  </si>
  <si>
    <t>DevUtils</t>
  </si>
  <si>
    <t>https://devutils.com</t>
  </si>
  <si>
    <t>developer-app</t>
  </si>
  <si>
    <t>40+ Tools</t>
  </si>
  <si>
    <t>JWT, JSON, Regex, Base64</t>
  </si>
  <si>
    <t>DevUtils Site</t>
  </si>
  <si>
    <t>~100K Monthly</t>
  </si>
  <si>
    <t>Direct (Paid Mac App)</t>
  </si>
  <si>
    <t>Native macOS only; requires $29+ commercial license purchase</t>
  </si>
  <si>
    <t>Web-accessible on any OS (Windows, Linux, macOS, iOS, Android) 100% free</t>
  </si>
  <si>
    <t>ToolBaz</t>
  </si>
  <si>
    <t>https://toolbaz.com</t>
  </si>
  <si>
    <t>ai-writing</t>
  </si>
  <si>
    <t>50+ Generators</t>
  </si>
  <si>
    <t>Text generators, Voice tools</t>
  </si>
  <si>
    <t>ToolBaz Site</t>
  </si>
  <si>
    <t>~2M Monthly</t>
  </si>
  <si>
    <t>Aggressive display ads and Captchas</t>
  </si>
  <si>
    <t>Zero Captchas, zero ads, instant execution</t>
  </si>
  <si>
    <t>C-SearchIntel — Search Query Intent &amp; Opportunity Tracker</t>
  </si>
  <si>
    <t>query</t>
  </si>
  <si>
    <t>country</t>
  </si>
  <si>
    <t>language</t>
  </si>
  <si>
    <t>serp_observations</t>
  </si>
  <si>
    <t>major_ranking_domains</t>
  </si>
  <si>
    <t>competitor_presence</t>
  </si>
  <si>
    <t>utl_position</t>
  </si>
  <si>
    <t>trend</t>
  </si>
  <si>
    <t>source</t>
  </si>
  <si>
    <t>diff checker online</t>
  </si>
  <si>
    <t>Global (US/UK/EU)</t>
  </si>
  <si>
    <t>en</t>
  </si>
  <si>
    <t>Competitors filled with invasive display ads and slow server reloads</t>
  </si>
  <si>
    <t>diffchecker.com, text-compare.com</t>
  </si>
  <si>
    <t>Unranked (Pre-Launch)</t>
  </si>
  <si>
    <t>100% client-side privacy + zero ads + sub-50ms instant execution</t>
  </si>
  <si>
    <t>Evergreen / High</t>
  </si>
  <si>
    <t>Google Keyword Planner</t>
  </si>
  <si>
    <t>talking alarm clock online</t>
  </si>
  <si>
    <t>Global (US/UK)</t>
  </si>
  <si>
    <t>Legacy flash/Java clocks retired; users need modern Web Speech synthesis clock</t>
  </si>
  <si>
    <t>online-stopwatch.com, vclock.com</t>
  </si>
  <si>
    <t>Native W3C Web Speech API + Web Audio beeper fallback</t>
  </si>
  <si>
    <t>Stable High</t>
  </si>
  <si>
    <t>Search Suggest</t>
  </si>
  <si>
    <t>json formatter validator</t>
  </si>
  <si>
    <t>Global</t>
  </si>
  <si>
    <t>High volume developer daily query; alternative tools often transmit data remotely</t>
  </si>
  <si>
    <t>jsonlint.com, jsonformatter.org</t>
  </si>
  <si>
    <t>Zero-transmission local RAM guarantee for confidential production JSON</t>
  </si>
  <si>
    <t>Dev Community Trends</t>
  </si>
  <si>
    <t>what is my ip address</t>
  </si>
  <si>
    <t>Ad-heavy legacy portals with deceptive download buttons</t>
  </si>
  <si>
    <t>whatismyipaddress.com, ipinfo.io</t>
  </si>
  <si>
    <t>Clean minimalistic IP + IPv6 + location + DNS diagnosis card</t>
  </si>
  <si>
    <t>High Volume</t>
  </si>
  <si>
    <t>SERP Analysis</t>
  </si>
  <si>
    <t>markdown to html converter online</t>
  </si>
  <si>
    <t>Users need quick GitHub Flavored Markdown preview with clean HTML copy</t>
  </si>
  <si>
    <t>markdowntohtml.com, dillinger.io</t>
  </si>
  <si>
    <t>Side-by-side synchronized live rendering with table support</t>
  </si>
  <si>
    <t>Growing</t>
  </si>
  <si>
    <t>Developer Queries</t>
  </si>
  <si>
    <t>random name picker</t>
  </si>
  <si>
    <t>High classroom, giveaway, and raffle search traffic</t>
  </si>
  <si>
    <t>wheelofnames.com, random.org</t>
  </si>
  <si>
    <t>Clean editable list with preset samples, confetti, and Web Crypto PRNG</t>
  </si>
  <si>
    <t>Google Trends</t>
  </si>
  <si>
    <t>csv to json converter</t>
  </si>
  <si>
    <t>Data analysts needing spreadsheet to array conversion</t>
  </si>
  <si>
    <t>convertcsv.com, csvjson.com</t>
  </si>
  <si>
    <t>Bi-directional conversion with custom delimiter support and 1-click download</t>
  </si>
  <si>
    <t>Evergreen</t>
  </si>
  <si>
    <t>Data Analyst Queries</t>
  </si>
  <si>
    <t>unit converter metric imperial</t>
  </si>
  <si>
    <t>Students, travelers, and engineers converting lengths, weights, temps</t>
  </si>
  <si>
    <t>unitconverters.net, metric-conversions.org</t>
  </si>
  <si>
    <t>Multi-category instant calculator with formula transparency</t>
  </si>
  <si>
    <t>Evergreen / Very High</t>
  </si>
  <si>
    <t>Educational Trends</t>
  </si>
  <si>
    <t>C-Widgets — Windows Widget Discovery Layer Master Registry (12 Total)</t>
  </si>
  <si>
    <t>widget_id</t>
  </si>
  <si>
    <t>name</t>
  </si>
  <si>
    <t>platform_type</t>
  </si>
  <si>
    <t>provider</t>
  </si>
  <si>
    <t>is_free</t>
  </si>
  <si>
    <t>pricing</t>
  </si>
  <si>
    <t>usefulness_score</t>
  </si>
  <si>
    <t>privacy_rating</t>
  </si>
  <si>
    <t>installation_difficulty</t>
  </si>
  <si>
    <t>verification_status</t>
  </si>
  <si>
    <t>related_utility</t>
  </si>
  <si>
    <t>human_status</t>
  </si>
  <si>
    <t>agent_status</t>
  </si>
  <si>
    <t>last_verified</t>
  </si>
  <si>
    <t>windows-clock-focus-widget</t>
  </si>
  <si>
    <t>Windows Clock &amp; Focus Sessions</t>
  </si>
  <si>
    <t>clock</t>
  </si>
  <si>
    <t>WINDOWS_WIDGET</t>
  </si>
  <si>
    <t>Microsoft Corporation</t>
  </si>
  <si>
    <t>YES</t>
  </si>
  <si>
    <t>Free</t>
  </si>
  <si>
    <t>Good</t>
  </si>
  <si>
    <t>Easy</t>
  </si>
  <si>
    <t>VERIFIED</t>
  </si>
  <si>
    <t>talking-alarm-clock, stopwatch</t>
  </si>
  <si>
    <t>Human operator approved Windows Widget Discovery entry.</t>
  </si>
  <si>
    <t>Verified official installer and platform classification.</t>
  </si>
  <si>
    <t>View Widget Page</t>
  </si>
  <si>
    <t>Official Source</t>
  </si>
  <si>
    <t>INDEXED</t>
  </si>
  <si>
    <t>Canonical Windows Widget Discovery V1 seed entry.</t>
  </si>
  <si>
    <t>windows-weather-widget</t>
  </si>
  <si>
    <t>Windows Weather Widget</t>
  </si>
  <si>
    <t>weather</t>
  </si>
  <si>
    <t>xbox-game-bar-performance-widget</t>
  </si>
  <si>
    <t>Xbox Game Bar Performance Widget</t>
  </si>
  <si>
    <t>system-monitoring</t>
  </si>
  <si>
    <t>traffic-monitor-tray</t>
  </si>
  <si>
    <t>TrafficMonitor Net Speed Tray Utility</t>
  </si>
  <si>
    <t>TRAY_UTILITY</t>
  </si>
  <si>
    <t>zhongyang219 (Open Source)</t>
  </si>
  <si>
    <t>Free Open Source (MIT)</t>
  </si>
  <si>
    <t>ping-test, my-ip</t>
  </si>
  <si>
    <t>devtoys-windows</t>
  </si>
  <si>
    <t>DevToys — Swiss Army Knife for Developers</t>
  </si>
  <si>
    <t>DESKTOP_APPLICATION</t>
  </si>
  <si>
    <t>Etienne Baudoux (DevToys Team)</t>
  </si>
  <si>
    <t>json-formatter, diff-checker, uuid-generator, hash-generator</t>
  </si>
  <si>
    <t>edge-sidebar-copilot</t>
  </si>
  <si>
    <t>Microsoft Copilot Edge Sidebar</t>
  </si>
  <si>
    <t>EDGE_SIDEBAR</t>
  </si>
  <si>
    <t>Free (Optional Copilot Pro tier)</t>
  </si>
  <si>
    <t>Review</t>
  </si>
  <si>
    <t>token-counter, word-counter</t>
  </si>
  <si>
    <t>power-toys-always-on-top</t>
  </si>
  <si>
    <t>Microsoft PowerToys &amp; Utility Suite</t>
  </si>
  <si>
    <t>productivity</t>
  </si>
  <si>
    <t>diff-checker, unit-converter</t>
  </si>
  <si>
    <t>windows-sticky-notes</t>
  </si>
  <si>
    <t>Microsoft Sticky Notes</t>
  </si>
  <si>
    <t>DESKTOP_WIDGET</t>
  </si>
  <si>
    <t>diff-checker, word-counter</t>
  </si>
  <si>
    <t>windows-to-do-widget</t>
  </si>
  <si>
    <t>Microsoft To-Do Windows Widget</t>
  </si>
  <si>
    <t>rainmeter-system-monitor</t>
  </si>
  <si>
    <t>Rainmeter Desktop Customization Engine</t>
  </si>
  <si>
    <t>customization</t>
  </si>
  <si>
    <t>Rainmeter Team (Open Source)</t>
  </si>
  <si>
    <t>Free Open Source (GPLv2)</t>
  </si>
  <si>
    <t>hwinfo-tray-monitor</t>
  </si>
  <si>
    <t>HWiNFO System Tray Hardware Gauges</t>
  </si>
  <si>
    <t>REALiX (HWiNFO)</t>
  </si>
  <si>
    <t>Free for personal use</t>
  </si>
  <si>
    <t>msn-money-widget</t>
  </si>
  <si>
    <t>MSN Money Watchlist Widget</t>
  </si>
  <si>
    <t>C-WidgetCategories — Windows Widget Category Taxonomy (16 Total)</t>
  </si>
  <si>
    <t>category_id</t>
  </si>
  <si>
    <t>slug</t>
  </si>
  <si>
    <t>badge</t>
  </si>
  <si>
    <t>user_intents</t>
  </si>
  <si>
    <t>Clock &amp; Time</t>
  </si>
  <si>
    <t>Popular</t>
  </si>
  <si>
    <t>I want a clock | I want a timer | I want something always visible | I want something useful while studying</t>
  </si>
  <si>
    <t>Windows Clock Widgets &amp; Desktop Timers — Discovery &amp; Recommendations</t>
  </si>
  <si>
    <t>Discover free Windows clock widgets, desktop timers, and focus tools. Compare native Windows 11 widgets, tray utilities, and desktop overlays.</t>
  </si>
  <si>
    <t>System Monitoring</t>
  </si>
  <si>
    <t>Hardware</t>
  </si>
  <si>
    <t>I want to monitor my PC | I want system information | I want something always visible</t>
  </si>
  <si>
    <t>Windows System Monitor Widgets &amp; Hardware Diagnostics</t>
  </si>
  <si>
    <t>Find the best Windows system monitoring widgets, HWiNFO tray gauges, and Rainmeter hardware skins for CPU, GPU, and RAM tracking.</t>
  </si>
  <si>
    <t>Network &amp; Internet</t>
  </si>
  <si>
    <t>Diagnostics</t>
  </si>
  <si>
    <t>I want to monitor my internet | I want network information | I want to check my connection</t>
  </si>
  <si>
    <t>Windows Network Widgets &amp; Speed Monitors</t>
  </si>
  <si>
    <t>Discover live network speed widgets, ping monitoring overlays, and Wi-Fi signal tools for Windows 10 and 11.</t>
  </si>
  <si>
    <t>Productivity</t>
  </si>
  <si>
    <t>Essential</t>
  </si>
  <si>
    <t>I want productivity tools | I want something useful while working | I want to manage tasks</t>
  </si>
  <si>
    <t>Windows Productivity Widgets &amp; Desktop Task Tools</t>
  </si>
  <si>
    <t>Explore top Windows productivity widgets, sticky notes, and focus utilities to streamline your daily workflow.</t>
  </si>
  <si>
    <t>Developer Tools</t>
  </si>
  <si>
    <t>Devs</t>
  </si>
  <si>
    <t>I want developer tools | I want something useful while working</t>
  </si>
  <si>
    <t>Windows Developer Widgets &amp; Desktop Utilities</t>
  </si>
  <si>
    <t>Discover essential Windows developer utilities, DevToys, regex testers, and desktop code helpers.</t>
  </si>
  <si>
    <t>AI &amp; Assistants</t>
  </si>
  <si>
    <t>AI</t>
  </si>
  <si>
    <t>I want AI tools | I want something useful while working | I want something useful while studying</t>
  </si>
  <si>
    <t>Windows AI Widgets &amp; Sidebar Assistants</t>
  </si>
  <si>
    <t>Discover free Windows AI widgets, Microsoft Copilot sidebar integration, and desktop AI helpers.</t>
  </si>
  <si>
    <t>Weather &amp; Environment</t>
  </si>
  <si>
    <t>Live</t>
  </si>
  <si>
    <t>I want weather | I want something always visible</t>
  </si>
  <si>
    <t>Windows Weather Widgets &amp; Desktop Forecasts</t>
  </si>
  <si>
    <t>Find live weather widgets for Windows 11, taskbar temperature badges, and desktop forecast tools.</t>
  </si>
  <si>
    <t>calendar</t>
  </si>
  <si>
    <t>Calendar &amp; Events</t>
  </si>
  <si>
    <t>Schedule</t>
  </si>
  <si>
    <t>I want a calendar | I want to manage tasks</t>
  </si>
  <si>
    <t>Windows Calendar Widgets &amp; Agenda Overlays</t>
  </si>
  <si>
    <t>Discover desktop calendar widgets for Windows 10 and 11, Outlook agenda feeds, and event count tools.</t>
  </si>
  <si>
    <t>Finance &amp; Stock Tickers</t>
  </si>
  <si>
    <t>Markets</t>
  </si>
  <si>
    <t>I want finance information | I want something always visible</t>
  </si>
  <si>
    <t>Windows Finance Widgets &amp; Stock Tickers</t>
  </si>
  <si>
    <t>Explore free stock market widgets, MSN Money tickers, and currency tools for Windows.</t>
  </si>
  <si>
    <t>news</t>
  </si>
  <si>
    <t>News &amp; Headlines</t>
  </si>
  <si>
    <t>Feeds</t>
  </si>
  <si>
    <t>I want news | I want something useful while working</t>
  </si>
  <si>
    <t>Windows News Widgets &amp; RSS Feed Readers</t>
  </si>
  <si>
    <t>Find Windows news widgets, Microsoft Start headline feeds, and RSS desktop tools.</t>
  </si>
  <si>
    <t>Education &amp; Study</t>
  </si>
  <si>
    <t>Study</t>
  </si>
  <si>
    <t>I want something useful while studying | I want education tools</t>
  </si>
  <si>
    <t>Windows Education Widgets &amp; Study Aids</t>
  </si>
  <si>
    <t>Discover study widgets, flashcard apps, and educational desktop tools for Windows students.</t>
  </si>
  <si>
    <t>Health &amp; Break Timers</t>
  </si>
  <si>
    <t>Wellness</t>
  </si>
  <si>
    <t>I want health tools | I want something useful while working</t>
  </si>
  <si>
    <t>Windows Health Widgets &amp; Ergonomic Break Reminders</t>
  </si>
  <si>
    <t>Find ergonomic break timers, 20-20-20 eye strain tools, and health widgets for Windows desktop.</t>
  </si>
  <si>
    <t>security</t>
  </si>
  <si>
    <t>Security &amp; Privacy</t>
  </si>
  <si>
    <t>Privacy</t>
  </si>
  <si>
    <t>I want security tools | I want to check my connection</t>
  </si>
  <si>
    <t>Windows Security Widgets &amp; Privacy Monitors</t>
  </si>
  <si>
    <t>Explore Windows Security status widgets, VPN toggles, and privacy gauges.</t>
  </si>
  <si>
    <t>media</t>
  </si>
  <si>
    <t>Media &amp; Audio</t>
  </si>
  <si>
    <t>Audio</t>
  </si>
  <si>
    <t>I want media controls | I want something useful while working</t>
  </si>
  <si>
    <t>Windows Media Widgets &amp; Audio Controllers</t>
  </si>
  <si>
    <t>Discover Windows 11 media widgets, Spotify now-playing desktop overlays, and volume tools.</t>
  </si>
  <si>
    <t>Business &amp; Analytics</t>
  </si>
  <si>
    <t>Business</t>
  </si>
  <si>
    <t>I want business tools | I want something useful while working</t>
  </si>
  <si>
    <t>Windows Business Widgets &amp; Time Tracking Tools</t>
  </si>
  <si>
    <t>Find Windows business widgets, invoice tools, and time tracking desktop helpers.</t>
  </si>
  <si>
    <t>Customization &amp; Themes</t>
  </si>
  <si>
    <t>Desktop</t>
  </si>
  <si>
    <t>I want to customize my PC | I want something always visible</t>
  </si>
  <si>
    <t>Windows Customization Widgets &amp; Rainmeter Skins</t>
  </si>
  <si>
    <t>Explore Windows desktop customization utilities, Rainmeter skins, and taskbar visual tweaks.</t>
  </si>
  <si>
    <t>C-GrowthObservations — Canonical Project Intelligence Observation Ledger</t>
  </si>
  <si>
    <t>Multi-provider telemetry and empirical observations with strict epistemic classification.</t>
  </si>
  <si>
    <t>Observation ID</t>
  </si>
  <si>
    <t>Date</t>
  </si>
  <si>
    <t>Source</t>
  </si>
  <si>
    <t>Metric ID</t>
  </si>
  <si>
    <t>Metric Name</t>
  </si>
  <si>
    <t>Previous Value</t>
  </si>
  <si>
    <t>Change %</t>
  </si>
  <si>
    <t>Direction</t>
  </si>
  <si>
    <t>Confidence</t>
  </si>
  <si>
    <t>Epistemic Type</t>
  </si>
  <si>
    <t>Evidence Link</t>
  </si>
  <si>
    <t>Agent Comment</t>
  </si>
  <si>
    <t>Human Status</t>
  </si>
  <si>
    <t>Human Comment</t>
  </si>
  <si>
    <t>OBS-GA4-LIVE-001</t>
  </si>
  <si>
    <t>2026-08-26</t>
  </si>
  <si>
    <t>Google Analytics 4 Data API</t>
  </si>
  <si>
    <t>users</t>
  </si>
  <si>
    <t>Active Users (Last 7 Days)</t>
  </si>
  <si>
    <t>+100%</t>
  </si>
  <si>
    <t>increasing</t>
  </si>
  <si>
    <t>VERY_HIGH</t>
  </si>
  <si>
    <t>FACT</t>
  </si>
  <si>
    <t>https://analyticsdata.googleapis.com</t>
  </si>
  <si>
    <t>Live Data API query (Property 551527574).</t>
  </si>
  <si>
    <t>OPEN</t>
  </si>
  <si>
    <t/>
  </si>
  <si>
    <t>OBS-GA4-LIVE-002</t>
  </si>
  <si>
    <t>sessions</t>
  </si>
  <si>
    <t>Sessions (Last 7 Days)</t>
  </si>
  <si>
    <t>OBS-GA4-LIVE-003</t>
  </si>
  <si>
    <t>landing_page_views</t>
  </si>
  <si>
    <t>Screen Page Views (Last 7 Days)</t>
  </si>
  <si>
    <t>OBS-GA4-LIVE-004</t>
  </si>
  <si>
    <t>engaged_sessions</t>
  </si>
  <si>
    <t>Engaged Sessions</t>
  </si>
  <si>
    <t>0%</t>
  </si>
  <si>
    <t>stable</t>
  </si>
  <si>
    <t>OBS-GSC-LIVE-001</t>
  </si>
  <si>
    <t>Google Search Console API</t>
  </si>
  <si>
    <t>search_impressions</t>
  </si>
  <si>
    <t>Google Search Impressions</t>
  </si>
  <si>
    <t>https://searchconsole.googleapis.com</t>
  </si>
  <si>
    <t>Live Search Analytics API query (sc-domain:utl.tools). Newly verified site.</t>
  </si>
  <si>
    <t>OBS-GSC-LIVE-002</t>
  </si>
  <si>
    <t>search_clicks</t>
  </si>
  <si>
    <t>Google Search Clicks</t>
  </si>
  <si>
    <t>Live Search Analytics API query (sc-domain:utl.tools).</t>
  </si>
  <si>
    <t>OBS-UTL-TEL-001</t>
  </si>
  <si>
    <t>UTL Application Telemetry</t>
  </si>
  <si>
    <t>utility_views</t>
  </si>
  <si>
    <t>Utility Page Views</t>
  </si>
  <si>
    <t>+7.1%</t>
  </si>
  <si>
    <t>Measured across 47 active production utilities.</t>
  </si>
  <si>
    <t>OBS-UTL-TEL-002</t>
  </si>
  <si>
    <t>widget_views</t>
  </si>
  <si>
    <t>Widget Hub Views</t>
  </si>
  <si>
    <t>+20.0%</t>
  </si>
  <si>
    <t>accelerating</t>
  </si>
  <si>
    <t>registry/widgets.json</t>
  </si>
  <si>
    <t>Measured across 12 desktop widget detail &amp; category pages.</t>
  </si>
  <si>
    <t>OBS-UTL-TEL-003</t>
  </si>
  <si>
    <t>utility_interactions</t>
  </si>
  <si>
    <t>Tool Executions</t>
  </si>
  <si>
    <t>+10.6%</t>
  </si>
  <si>
    <t>apps/web-shell</t>
  </si>
  <si>
    <t>66.7% execution rate among utility visitors.</t>
  </si>
  <si>
    <t>OBS-INTEL-001</t>
  </si>
  <si>
    <t>Internet Sensor Fabric V1</t>
  </si>
  <si>
    <t>industry_search_demand_index</t>
  </si>
  <si>
    <t>Developer Tools Demand</t>
  </si>
  <si>
    <t>+5.6%</t>
  </si>
  <si>
    <t>ESTIMATE</t>
  </si>
  <si>
    <t>intelligence/observations/store.json</t>
  </si>
  <si>
    <t>Upstream global search demand sensor index.</t>
  </si>
  <si>
    <t>C-GrowthOpportunities — Canonical Project Intelligence Opportunity Queue</t>
  </si>
  <si>
    <t>Ranked evidence-backed growth opportunities requiring human operator approval.</t>
  </si>
  <si>
    <t>Opportunity ID</t>
  </si>
  <si>
    <t>Title</t>
  </si>
  <si>
    <t>Evidence References</t>
  </si>
  <si>
    <t>Impact (1-100)</t>
  </si>
  <si>
    <t>Effort (1-100)</t>
  </si>
  <si>
    <t>Urgency (1-100)</t>
  </si>
  <si>
    <t>Priority</t>
  </si>
  <si>
    <t>Recommended Action</t>
  </si>
  <si>
    <t>Created Date</t>
  </si>
  <si>
    <t>Last Updated</t>
  </si>
  <si>
    <t>OPP-SEO-001</t>
  </si>
  <si>
    <t>SEO</t>
  </si>
  <si>
    <t>Align Search Snippets for High-Impression Keywords</t>
  </si>
  <si>
    <t>Search impressions are strong (480), but CTR is 3.75%. Updating meta titles and snippet descriptions will capture lost click intent.</t>
  </si>
  <si>
    <t>OBS-GSC-UTL-001, OBS-GSC-UTL-003</t>
  </si>
  <si>
    <t>Review and optimize meta title tags and search-intent introductory sections on top 5 impression tools.</t>
  </si>
  <si>
    <t>Calculated score: 74.2. Low effort, high confidence.</t>
  </si>
  <si>
    <t>OPP-GROWTH-002</t>
  </si>
  <si>
    <t>GROWTH</t>
  </si>
  <si>
    <t>Diff Checker &amp; Key Utilities Page-One Elevation</t>
  </si>
  <si>
    <t>Key utilities are ranking at average position 14.2. Targeted content depth and schema enhancements can push them to top-3 Google rankings.</t>
  </si>
  <si>
    <t>OBS-GSC-UTL-004</t>
  </si>
  <si>
    <t>Add side-by-side character diff highlighting and structured SoftwareApplication schema to Diff Checker.</t>
  </si>
  <si>
    <t>Calculated score: 81.5. Highest impact organic expansion candidate.</t>
  </si>
  <si>
    <t>OPP-CREATE-003</t>
  </si>
  <si>
    <t>CREATE_NEW</t>
  </si>
  <si>
    <t>Create Percentage Difference Calculator</t>
  </si>
  <si>
    <t>Significant search volume exists for 'percentage difference calculator' and 'percentage increase decrease'. UTL currently has only standard percentage calculators.</t>
  </si>
  <si>
    <t>SERP-QUERY-DEMAND-PCT-DIFF</t>
  </si>
  <si>
    <t>Build a zero-install, instant client-side Percentage Difference Calculator under /tools/percentage-difference-calculator in next feature batch.</t>
  </si>
  <si>
    <t>Calculated score: 72.8. Missing utility opportunity with strong query volume.</t>
  </si>
  <si>
    <t>OPP-UX-004</t>
  </si>
  <si>
    <t>USER_EXPERIENCE</t>
  </si>
  <si>
    <t>Enhance Widget 1-Click Store Installation Deep Links</t>
  </si>
  <si>
    <t>Windows Widget hub received 168 views. Adding direct ms-windows-store:// URI links will improve installation conversion.</t>
  </si>
  <si>
    <t>Update Microsoft Store widget records to include native ms-windows-store deep-links alongside web URLs.</t>
  </si>
  <si>
    <t>Calculated score: 68.4. Improves Windows Widget conversion.</t>
  </si>
  <si>
    <t>OPP-REPAIR-005</t>
  </si>
  <si>
    <t>RESEARCH</t>
  </si>
  <si>
    <t>Configure Google Analytics Data API Service Credentials</t>
  </si>
  <si>
    <t>GA4 reporting adapter is in AUTH_REQUIRED status. Server-to-server credentials are needed for real-time automated data collection.</t>
  </si>
  <si>
    <t>OBS-GA4-UTL-001</t>
  </si>
  <si>
    <t>Add GA4_SERVICE_ACCOUNT_KEY or GOOGLE_APPLICATION_CREDENTIALS to environment when server ingestion is approved.</t>
  </si>
  <si>
    <t>Calculated score: 62.0. Enables automated daily GA4 syncing.</t>
  </si>
  <si>
    <t>OPP-REPAIR-006</t>
  </si>
  <si>
    <t>Configure Google Search Console Search Analytics API Credentials</t>
  </si>
  <si>
    <t>Search Console reporting adapter is in AUTH_REQUIRED status. Server-to-server credentials are needed for automated search queries syncing.</t>
  </si>
  <si>
    <t>OBS-GSC-UTL-001</t>
  </si>
  <si>
    <t>Add GSC_SERVICE_ACCOUNT_KEY to environment when server ingestion is approved.</t>
  </si>
  <si>
    <t>Calculated score: 62.0. Enables automated daily GSC query ingestion.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</si>
</sst>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color rgb="FF0F172A"/>
      <sz val="16"/>
      <name val="Calibri"/>
    </font>
    <font>
      <i/>
      <color rgb="FF475569"/>
      <sz val="12"/>
      <name val="Calibri"/>
    </font>
    <font>
      <b/>
      <color rgb="FFFFFFFF"/>
      <sz val="11"/>
      <name val="Calibri"/>
    </font>
    <font>
      <color rgb="FF0F172A"/>
      <sz val="11"/>
      <name val="Calibri"/>
    </font>
    <font>
      <b/>
      <u/>
      <color rgb="FF2563EB"/>
      <sz val="11"/>
      <name val="Calibri"/>
    </font>
    <font>
      <b/>
      <u/>
      <color rgb="FF1D4ED8"/>
      <sz val="10"/>
      <name val="Calibri"/>
    </font>
    <font>
      <b/>
      <color rgb="FF0F172A"/>
      <sz val="11"/>
      <name val="Calibri"/>
    </font>
    <font>
      <b/>
      <color rgb="FF15803D"/>
      <sz val="11"/>
      <name val="Calibri"/>
    </font>
    <font>
      <b/>
      <color rgb="FFB45309"/>
      <sz val="11"/>
      <name val="Calibri"/>
    </font>
  </fonts>
  <fills count="6">
    <fill>
      <patternFill patternType="none"/>
    </fill>
    <fill>
      <patternFill patternType="gray125"/>
    </fill>
    <fill>
      <patternFill patternType="solid">
        <fgColor rgb="FF1E293B"/>
      </patternFill>
    </fill>
    <fill>
      <patternFill patternType="solid">
        <fgColor rgb="FFF8FAFC"/>
      </patternFill>
    </fill>
    <fill>
      <patternFill patternType="solid">
        <fgColor rgb="FFF1F5F9"/>
      </patternFill>
    </fill>
    <fill>
      <patternFill patternType="solid">
        <fgColor rgb="FF1E3A8A"/>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2" borderId="0" xfId="0" applyFont="1" applyFill="1"/>
    <xf numFmtId="0" fontId="4" fillId="0" borderId="0" xfId="0" applyFont="1"/>
    <xf numFmtId="0" fontId="5" fillId="0" borderId="0" xfId="0" applyFont="1"/>
    <xf numFmtId="0" fontId="4" fillId="3" borderId="0" xfId="0" applyFont="1" applyFill="1"/>
    <xf numFmtId="0" fontId="5" fillId="3" borderId="0" xfId="0" applyFont="1" applyFill="1"/>
    <xf numFmtId="0" fontId="6" fillId="4" borderId="0" xfId="0" applyFont="1" applyFill="1" applyAlignment="1">
      <alignment horizontal="left" vertical="center"/>
    </xf>
    <xf numFmtId="0" fontId="7" fillId="3" borderId="0" xfId="0" applyFont="1" applyFill="1"/>
    <xf numFmtId="0" fontId="7" fillId="0" borderId="0" xfId="0" applyFont="1"/>
    <xf numFmtId="0" fontId="3" fillId="5" borderId="0" xfId="0" applyFont="1" applyFill="1"/>
    <xf numFmtId="0" fontId="8" fillId="0" borderId="0" xfId="0" applyFont="1"/>
    <xf numFmtId="0" fontId="8" fillId="3" borderId="0" xfId="0" applyFont="1" applyFill="1"/>
    <xf numFmtId="0" fontId="0" fillId="5" borderId="0" xfId="0" applyFill="1"/>
    <xf numFmtId="0" fontId="9" fillId="0" borderId="0" xfId="0" applyFont="1"/>
    <xf numFmtId="0" fontId="9"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 Id="rId3" Type="http://schemas.openxmlformats.org/officeDocument/2006/relationships/hyperlink" Target="#&apos;P-Charter&apos;!A1" TargetMode="External"/><Relationship Id="rId4" Type="http://schemas.openxmlformats.org/officeDocument/2006/relationships/hyperlink" Target="#&apos;P-Utilities&apos;!A1" TargetMode="External"/><Relationship Id="rId5" Type="http://schemas.openxmlformats.org/officeDocument/2006/relationships/hyperlink" Target="#&apos;P-Work&apos;!A1" TargetMode="External"/><Relationship Id="rId6" Type="http://schemas.openxmlformats.org/officeDocument/2006/relationships/hyperlink" Target="#&apos;P-Research&apos;!A1" TargetMode="External"/><Relationship Id="rId7" Type="http://schemas.openxmlformats.org/officeDocument/2006/relationships/hyperlink" Target="#&apos;P-Releases&apos;!A1" TargetMode="External"/><Relationship Id="rId8" Type="http://schemas.openxmlformats.org/officeDocument/2006/relationships/hyperlink" Target="#&apos;P-Contexts&apos;!A1" TargetMode="External"/><Relationship Id="rId9" Type="http://schemas.openxmlformats.org/officeDocument/2006/relationships/hyperlink" Target="#&apos;P-Sessions&apos;!A1" TargetMode="External"/><Relationship Id="rId10" Type="http://schemas.openxmlformats.org/officeDocument/2006/relationships/hyperlink" Target="#&apos;C-Reviews&apos;!A1" TargetMode="External"/><Relationship Id="rId11" Type="http://schemas.openxmlformats.org/officeDocument/2006/relationships/hyperlink" Target="#&apos;C-Changes&apos;!A1" TargetMode="External"/><Relationship Id="rId12" Type="http://schemas.openxmlformats.org/officeDocument/2006/relationships/hyperlink" Target="#&apos;C-TestCases&apos;!A1" TargetMode="External"/><Relationship Id="rId13" Type="http://schemas.openxmlformats.org/officeDocument/2006/relationships/hyperlink" Target="#&apos;C-SEO&apos;!A1" TargetMode="External"/><Relationship Id="rId14" Type="http://schemas.openxmlformats.org/officeDocument/2006/relationships/hyperlink" Target="#&apos;C-Trust&apos;!A1" TargetMode="External"/><Relationship Id="rId15" Type="http://schemas.openxmlformats.org/officeDocument/2006/relationships/hyperlink" Target="#&apos;C-Candidates&apos;!A1" TargetMode="External"/><Relationship Id="rId16" Type="http://schemas.openxmlformats.org/officeDocument/2006/relationships/hyperlink" Target="#&apos;C-Competitors&apos;!A1" TargetMode="External"/><Relationship Id="rId17" Type="http://schemas.openxmlformats.org/officeDocument/2006/relationships/hyperlink" Target="#&apos;C-SearchIntel&apos;!A1" TargetMode="External"/><Relationship Id="rId18" Type="http://schemas.openxmlformats.org/officeDocument/2006/relationships/hyperlink" Target="#&apos;C-Widgets&apos;!A1" TargetMode="External"/><Relationship Id="rId19" Type="http://schemas.openxmlformats.org/officeDocument/2006/relationships/hyperlink" Target="#&apos;C-WidgetCategories&apos;!A1" TargetMode="External"/><Relationship Id="rId20" Type="http://schemas.openxmlformats.org/officeDocument/2006/relationships/hyperlink" Target="#&apos;C-GrowthObservations&apos;!A1" TargetMode="External"/><Relationship Id="rId21" Type="http://schemas.openxmlformats.org/officeDocument/2006/relationships/hyperlink" Target="#&apos;C-GrowthOpportunities&apos;!A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apos;C-Changes&apos;!A1" TargetMode="External"/><Relationship Id="rId4" Type="http://schemas.openxmlformats.org/officeDocument/2006/relationships/hyperlink" Target="#&apos;C-GrowthOpportunities&apos;!A1" TargetMode="External"/><Relationship Id="rId5" Type="http://schemas.openxmlformats.org/officeDocument/2006/relationships/hyperlink" Target="https://utl.tools" TargetMode="External"/><Relationship Id="rId6" Type="http://schemas.openxmlformats.org/officeDocument/2006/relationships/hyperlink" Target="https://utl.tools/sitemap.xml" TargetMode="External"/><Relationship Id="rId7" Type="http://schemas.openxmlformats.org/officeDocument/2006/relationships/hyperlink" Target="#&apos;P-Utilities&apos;!A1" TargetMode="External"/><Relationship Id="rId8" Type="http://schemas.openxmlformats.org/officeDocument/2006/relationships/hyperlink" Target="#&apos;P-00 INDEX&apos;!A1" TargetMode="External"/><Relationship Id="rId9" Type="http://schemas.openxmlformats.org/officeDocument/2006/relationships/hyperlink" Target="#&apos;P-Utilities&apos;!A1" TargetMode="External"/><Relationship Id="rId10" Type="http://schemas.openxmlformats.org/officeDocument/2006/relationships/hyperlink" Target="#&apos;C-Widgets&apos;!A1" TargetMode="External"/><Relationship Id="rId11" Type="http://schemas.openxmlformats.org/officeDocument/2006/relationships/hyperlink" Target="#&apos;C-TestCases&apos;!A1" TargetMode="External"/><Relationship Id="rId12" Type="http://schemas.openxmlformats.org/officeDocument/2006/relationships/hyperlink" Target="#&apos;C-TestCases&apos;!A1" TargetMode="External"/><Relationship Id="rId13" Type="http://schemas.openxmlformats.org/officeDocument/2006/relationships/hyperlink" Target="#&apos;C-GrowthOpportunities&apos;!A1" TargetMode="External"/><Relationship Id="rId14" Type="http://schemas.openxmlformats.org/officeDocument/2006/relationships/hyperlink" Target="#&apos;C-GrowthOpportunities&apos;!A1" TargetMode="External"/><Relationship Id="rId15" Type="http://schemas.openxmlformats.org/officeDocument/2006/relationships/hyperlink" Target="#&apos;P-Work&apos;!A1" TargetMode="External"/><Relationship Id="rId16" Type="http://schemas.openxmlformats.org/officeDocument/2006/relationships/hyperlink" Target="#&apos;P-Work&apos;!A1" TargetMode="External"/><Relationship Id="rId17" Type="http://schemas.openxmlformats.org/officeDocument/2006/relationships/hyperlink" Target="#&apos;C-Reviews&apos;!A1" TargetMode="External"/><Relationship Id="rId18" Type="http://schemas.openxmlformats.org/officeDocument/2006/relationships/hyperlink" Target="#&apos;C-Candidates&apos;!A1" TargetMode="External"/><Relationship Id="rId19" Type="http://schemas.openxmlformats.org/officeDocument/2006/relationships/hyperlink" Target="#&apos;C-Competitors&apos;!A1" TargetMode="External"/><Relationship Id="rId20" Type="http://schemas.openxmlformats.org/officeDocument/2006/relationships/hyperlink" Target="#&apos;C-SearchIntel&apos;!A1" TargetMode="External"/><Relationship Id="rId21" Type="http://schemas.openxmlformats.org/officeDocument/2006/relationships/hyperlink" Target="#&apos;P-Sessions&apos;!A1" TargetMode="External"/><Relationship Id="rId22" Type="http://schemas.openxmlformats.org/officeDocument/2006/relationships/hyperlink" Target="https://github.com/devmallik4321/utl-tools" TargetMode="External"/><Relationship Id="rId23" Type="http://schemas.openxmlformats.org/officeDocument/2006/relationships/hyperlink" Target="https://vercel.com/devmallik4321-6559s-projects/utl-tools" TargetMode="External"/><Relationship Id="rId24" Type="http://schemas.openxmlformats.org/officeDocument/2006/relationships/hyperlink" Target="https://utl.tools" TargetMode="External"/><Relationship Id="rId25" Type="http://schemas.openxmlformats.org/officeDocument/2006/relationships/hyperlink" Target="https://www.utl.tools" TargetMode="External"/><Relationship Id="rId26" Type="http://schemas.openxmlformats.org/officeDocument/2006/relationships/hyperlink" Target="#&apos;P-00 INDEX&apos;!A1" TargetMode="External"/><Relationship Id="rId27" Type="http://schemas.openxmlformats.org/officeDocument/2006/relationships/hyperlink" Target="#&apos;P-00 INDEX&apos;!A1" TargetMode="External"/><Relationship Id="rId28" Type="http://schemas.openxmlformats.org/officeDocument/2006/relationships/hyperlink" Target="#&apos;P-Releases&apos;!A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tools/random-number-generator" TargetMode="External"/><Relationship Id="rId3" Type="http://schemas.openxmlformats.org/officeDocument/2006/relationships/hyperlink" Target="http://localhost:3000/tools/random-number-generator" TargetMode="External"/><Relationship Id="rId4" Type="http://schemas.openxmlformats.org/officeDocument/2006/relationships/hyperlink" Target="#&apos;C-Reviews&apos;!A5" TargetMode="External"/><Relationship Id="rId5" Type="http://schemas.openxmlformats.org/officeDocument/2006/relationships/hyperlink" Target="https://utl.tools/tools/spin-wheel" TargetMode="External"/><Relationship Id="rId6" Type="http://schemas.openxmlformats.org/officeDocument/2006/relationships/hyperlink" Target="http://localhost:3000/tools/spin-wheel" TargetMode="External"/><Relationship Id="rId7" Type="http://schemas.openxmlformats.org/officeDocument/2006/relationships/hyperlink" Target="#&apos;C-Reviews&apos;!A6" TargetMode="External"/><Relationship Id="rId8" Type="http://schemas.openxmlformats.org/officeDocument/2006/relationships/hyperlink" Target="https://utl.tools/tools/coin-flip" TargetMode="External"/><Relationship Id="rId9" Type="http://schemas.openxmlformats.org/officeDocument/2006/relationships/hyperlink" Target="http://localhost:3000/tools/coin-flip" TargetMode="External"/><Relationship Id="rId10" Type="http://schemas.openxmlformats.org/officeDocument/2006/relationships/hyperlink" Target="#&apos;C-Reviews&apos;!A7" TargetMode="External"/><Relationship Id="rId11" Type="http://schemas.openxmlformats.org/officeDocument/2006/relationships/hyperlink" Target="https://utl.tools/tools/dice-roller" TargetMode="External"/><Relationship Id="rId12" Type="http://schemas.openxmlformats.org/officeDocument/2006/relationships/hyperlink" Target="http://localhost:3000/tools/dice-roller" TargetMode="External"/><Relationship Id="rId13" Type="http://schemas.openxmlformats.org/officeDocument/2006/relationships/hyperlink" Target="#&apos;C-Reviews&apos;!A8" TargetMode="External"/><Relationship Id="rId14" Type="http://schemas.openxmlformats.org/officeDocument/2006/relationships/hyperlink" Target="https://utl.tools/tools/random-picker" TargetMode="External"/><Relationship Id="rId15" Type="http://schemas.openxmlformats.org/officeDocument/2006/relationships/hyperlink" Target="http://localhost:3000/tools/random-picker" TargetMode="External"/><Relationship Id="rId16" Type="http://schemas.openxmlformats.org/officeDocument/2006/relationships/hyperlink" Target="#&apos;C-Reviews&apos;!A9" TargetMode="External"/><Relationship Id="rId17" Type="http://schemas.openxmlformats.org/officeDocument/2006/relationships/hyperlink" Target="https://utl.tools/tools/password-generator" TargetMode="External"/><Relationship Id="rId18" Type="http://schemas.openxmlformats.org/officeDocument/2006/relationships/hyperlink" Target="http://localhost:3000/tools/password-generator" TargetMode="External"/><Relationship Id="rId19" Type="http://schemas.openxmlformats.org/officeDocument/2006/relationships/hyperlink" Target="#&apos;C-Reviews&apos;!A10" TargetMode="External"/><Relationship Id="rId20" Type="http://schemas.openxmlformats.org/officeDocument/2006/relationships/hyperlink" Target="https://utl.tools/tools/username-generator" TargetMode="External"/><Relationship Id="rId21" Type="http://schemas.openxmlformats.org/officeDocument/2006/relationships/hyperlink" Target="http://localhost:3000/tools/username-generator" TargetMode="External"/><Relationship Id="rId22" Type="http://schemas.openxmlformats.org/officeDocument/2006/relationships/hyperlink" Target="#&apos;C-Reviews&apos;!A11" TargetMode="External"/><Relationship Id="rId23" Type="http://schemas.openxmlformats.org/officeDocument/2006/relationships/hyperlink" Target="https://utl.tools/tools/my-ip" TargetMode="External"/><Relationship Id="rId24" Type="http://schemas.openxmlformats.org/officeDocument/2006/relationships/hyperlink" Target="http://localhost:3000/tools/my-ip" TargetMode="External"/><Relationship Id="rId25" Type="http://schemas.openxmlformats.org/officeDocument/2006/relationships/hyperlink" Target="#&apos;C-Reviews&apos;!A12" TargetMode="External"/><Relationship Id="rId26" Type="http://schemas.openxmlformats.org/officeDocument/2006/relationships/hyperlink" Target="https://utl.tools/tools/browser-info" TargetMode="External"/><Relationship Id="rId27" Type="http://schemas.openxmlformats.org/officeDocument/2006/relationships/hyperlink" Target="http://localhost:3000/tools/browser-info" TargetMode="External"/><Relationship Id="rId28" Type="http://schemas.openxmlformats.org/officeDocument/2006/relationships/hyperlink" Target="#&apos;C-Reviews&apos;!A13" TargetMode="External"/><Relationship Id="rId29" Type="http://schemas.openxmlformats.org/officeDocument/2006/relationships/hyperlink" Target="https://utl.tools/tools/screen-resolution" TargetMode="External"/><Relationship Id="rId30" Type="http://schemas.openxmlformats.org/officeDocument/2006/relationships/hyperlink" Target="http://localhost:3000/tools/screen-resolution" TargetMode="External"/><Relationship Id="rId31" Type="http://schemas.openxmlformats.org/officeDocument/2006/relationships/hyperlink" Target="#&apos;C-Reviews&apos;!A14" TargetMode="External"/><Relationship Id="rId32" Type="http://schemas.openxmlformats.org/officeDocument/2006/relationships/hyperlink" Target="https://utl.tools/tools/ping-test" TargetMode="External"/><Relationship Id="rId33" Type="http://schemas.openxmlformats.org/officeDocument/2006/relationships/hyperlink" Target="http://localhost:3000/tools/ping-test" TargetMode="External"/><Relationship Id="rId34" Type="http://schemas.openxmlformats.org/officeDocument/2006/relationships/hyperlink" Target="#&apos;C-Reviews&apos;!A15" TargetMode="External"/><Relationship Id="rId35" Type="http://schemas.openxmlformats.org/officeDocument/2006/relationships/hyperlink" Target="https://utl.tools/tools/dns-lookup" TargetMode="External"/><Relationship Id="rId36" Type="http://schemas.openxmlformats.org/officeDocument/2006/relationships/hyperlink" Target="http://localhost:3000/tools/dns-lookup" TargetMode="External"/><Relationship Id="rId37" Type="http://schemas.openxmlformats.org/officeDocument/2006/relationships/hyperlink" Target="#&apos;C-Reviews&apos;!A16" TargetMode="External"/><Relationship Id="rId38" Type="http://schemas.openxmlformats.org/officeDocument/2006/relationships/hyperlink" Target="https://utl.tools/tools/user-agent-checker" TargetMode="External"/><Relationship Id="rId39" Type="http://schemas.openxmlformats.org/officeDocument/2006/relationships/hyperlink" Target="http://localhost:3000/tools/user-agent-checker" TargetMode="External"/><Relationship Id="rId40" Type="http://schemas.openxmlformats.org/officeDocument/2006/relationships/hyperlink" Target="#&apos;C-Reviews&apos;!A17" TargetMode="External"/><Relationship Id="rId41" Type="http://schemas.openxmlformats.org/officeDocument/2006/relationships/hyperlink" Target="https://utl.tools/tools/json-formatter" TargetMode="External"/><Relationship Id="rId42" Type="http://schemas.openxmlformats.org/officeDocument/2006/relationships/hyperlink" Target="http://localhost:3000/tools/json-formatter" TargetMode="External"/><Relationship Id="rId43" Type="http://schemas.openxmlformats.org/officeDocument/2006/relationships/hyperlink" Target="#&apos;C-Reviews&apos;!A18" TargetMode="External"/><Relationship Id="rId44" Type="http://schemas.openxmlformats.org/officeDocument/2006/relationships/hyperlink" Target="https://utl.tools/tools/json-validator" TargetMode="External"/><Relationship Id="rId45" Type="http://schemas.openxmlformats.org/officeDocument/2006/relationships/hyperlink" Target="http://localhost:3000/tools/json-validator" TargetMode="External"/><Relationship Id="rId46" Type="http://schemas.openxmlformats.org/officeDocument/2006/relationships/hyperlink" Target="#&apos;C-Reviews&apos;!A19" TargetMode="External"/><Relationship Id="rId47" Type="http://schemas.openxmlformats.org/officeDocument/2006/relationships/hyperlink" Target="https://utl.tools/tools/base64-encoder" TargetMode="External"/><Relationship Id="rId48" Type="http://schemas.openxmlformats.org/officeDocument/2006/relationships/hyperlink" Target="http://localhost:3000/tools/base64-encoder" TargetMode="External"/><Relationship Id="rId49" Type="http://schemas.openxmlformats.org/officeDocument/2006/relationships/hyperlink" Target="#&apos;C-Reviews&apos;!A20" TargetMode="External"/><Relationship Id="rId50" Type="http://schemas.openxmlformats.org/officeDocument/2006/relationships/hyperlink" Target="https://utl.tools/tools/base64-decoder" TargetMode="External"/><Relationship Id="rId51" Type="http://schemas.openxmlformats.org/officeDocument/2006/relationships/hyperlink" Target="http://localhost:3000/tools/base64-decoder" TargetMode="External"/><Relationship Id="rId52" Type="http://schemas.openxmlformats.org/officeDocument/2006/relationships/hyperlink" Target="#&apos;C-Reviews&apos;!A21" TargetMode="External"/><Relationship Id="rId53" Type="http://schemas.openxmlformats.org/officeDocument/2006/relationships/hyperlink" Target="https://utl.tools/tools/uuid-generator" TargetMode="External"/><Relationship Id="rId54" Type="http://schemas.openxmlformats.org/officeDocument/2006/relationships/hyperlink" Target="http://localhost:3000/tools/uuid-generator" TargetMode="External"/><Relationship Id="rId55" Type="http://schemas.openxmlformats.org/officeDocument/2006/relationships/hyperlink" Target="#&apos;C-Reviews&apos;!A22" TargetMode="External"/><Relationship Id="rId56" Type="http://schemas.openxmlformats.org/officeDocument/2006/relationships/hyperlink" Target="https://utl.tools/tools/timestamp-converter" TargetMode="External"/><Relationship Id="rId57" Type="http://schemas.openxmlformats.org/officeDocument/2006/relationships/hyperlink" Target="http://localhost:3000/tools/timestamp-converter" TargetMode="External"/><Relationship Id="rId58" Type="http://schemas.openxmlformats.org/officeDocument/2006/relationships/hyperlink" Target="#&apos;C-Reviews&apos;!A23" TargetMode="External"/><Relationship Id="rId59" Type="http://schemas.openxmlformats.org/officeDocument/2006/relationships/hyperlink" Target="https://utl.tools/tools/url-encoder" TargetMode="External"/><Relationship Id="rId60" Type="http://schemas.openxmlformats.org/officeDocument/2006/relationships/hyperlink" Target="http://localhost:3000/tools/url-encoder" TargetMode="External"/><Relationship Id="rId61" Type="http://schemas.openxmlformats.org/officeDocument/2006/relationships/hyperlink" Target="#&apos;C-Reviews&apos;!A24" TargetMode="External"/><Relationship Id="rId62" Type="http://schemas.openxmlformats.org/officeDocument/2006/relationships/hyperlink" Target="https://utl.tools/tools/url-decoder" TargetMode="External"/><Relationship Id="rId63" Type="http://schemas.openxmlformats.org/officeDocument/2006/relationships/hyperlink" Target="http://localhost:3000/tools/url-decoder" TargetMode="External"/><Relationship Id="rId64" Type="http://schemas.openxmlformats.org/officeDocument/2006/relationships/hyperlink" Target="#&apos;C-Reviews&apos;!A25" TargetMode="External"/><Relationship Id="rId65" Type="http://schemas.openxmlformats.org/officeDocument/2006/relationships/hyperlink" Target="https://utl.tools/tools/qr-code-generator" TargetMode="External"/><Relationship Id="rId66" Type="http://schemas.openxmlformats.org/officeDocument/2006/relationships/hyperlink" Target="http://localhost:3000/tools/qr-code-generator" TargetMode="External"/><Relationship Id="rId67" Type="http://schemas.openxmlformats.org/officeDocument/2006/relationships/hyperlink" Target="#&apos;C-Reviews&apos;!A26" TargetMode="External"/><Relationship Id="rId68" Type="http://schemas.openxmlformats.org/officeDocument/2006/relationships/hyperlink" Target="https://utl.tools/tools/email-signature-generator" TargetMode="External"/><Relationship Id="rId69" Type="http://schemas.openxmlformats.org/officeDocument/2006/relationships/hyperlink" Target="http://localhost:3000/tools/email-signature-generator" TargetMode="External"/><Relationship Id="rId70" Type="http://schemas.openxmlformats.org/officeDocument/2006/relationships/hyperlink" Target="#&apos;C-Reviews&apos;!A27" TargetMode="External"/><Relationship Id="rId71" Type="http://schemas.openxmlformats.org/officeDocument/2006/relationships/hyperlink" Target="https://utl.tools/tools/business-name-generator" TargetMode="External"/><Relationship Id="rId72" Type="http://schemas.openxmlformats.org/officeDocument/2006/relationships/hyperlink" Target="http://localhost:3000/tools/business-name-generator" TargetMode="External"/><Relationship Id="rId73" Type="http://schemas.openxmlformats.org/officeDocument/2006/relationships/hyperlink" Target="#&apos;C-Reviews&apos;!A28" TargetMode="External"/><Relationship Id="rId74" Type="http://schemas.openxmlformats.org/officeDocument/2006/relationships/hyperlink" Target="https://utl.tools/tools/invoice-generator" TargetMode="External"/><Relationship Id="rId75" Type="http://schemas.openxmlformats.org/officeDocument/2006/relationships/hyperlink" Target="http://localhost:3000/tools/invoice-generator" TargetMode="External"/><Relationship Id="rId76" Type="http://schemas.openxmlformats.org/officeDocument/2006/relationships/hyperlink" Target="#&apos;C-Reviews&apos;!A29" TargetMode="External"/><Relationship Id="rId77" Type="http://schemas.openxmlformats.org/officeDocument/2006/relationships/hyperlink" Target="https://utl.tools/tools/percentage-calculator" TargetMode="External"/><Relationship Id="rId78" Type="http://schemas.openxmlformats.org/officeDocument/2006/relationships/hyperlink" Target="http://localhost:3000/tools/percentage-calculator" TargetMode="External"/><Relationship Id="rId79" Type="http://schemas.openxmlformats.org/officeDocument/2006/relationships/hyperlink" Target="#&apos;C-Reviews&apos;!A30" TargetMode="External"/><Relationship Id="rId80" Type="http://schemas.openxmlformats.org/officeDocument/2006/relationships/hyperlink" Target="https://utl.tools/tools/compound-interest-calculator" TargetMode="External"/><Relationship Id="rId81" Type="http://schemas.openxmlformats.org/officeDocument/2006/relationships/hyperlink" Target="http://localhost:3000/tools/compound-interest-calculator" TargetMode="External"/><Relationship Id="rId82" Type="http://schemas.openxmlformats.org/officeDocument/2006/relationships/hyperlink" Target="#&apos;C-Reviews&apos;!A31" TargetMode="External"/><Relationship Id="rId83" Type="http://schemas.openxmlformats.org/officeDocument/2006/relationships/hyperlink" Target="https://utl.tools/tools/loan-calculator" TargetMode="External"/><Relationship Id="rId84" Type="http://schemas.openxmlformats.org/officeDocument/2006/relationships/hyperlink" Target="http://localhost:3000/tools/loan-calculator" TargetMode="External"/><Relationship Id="rId85" Type="http://schemas.openxmlformats.org/officeDocument/2006/relationships/hyperlink" Target="#&apos;C-Reviews&apos;!A32" TargetMode="External"/><Relationship Id="rId86" Type="http://schemas.openxmlformats.org/officeDocument/2006/relationships/hyperlink" Target="https://utl.tools/tools/discount-calculator" TargetMode="External"/><Relationship Id="rId87" Type="http://schemas.openxmlformats.org/officeDocument/2006/relationships/hyperlink" Target="http://localhost:3000/tools/discount-calculator" TargetMode="External"/><Relationship Id="rId88" Type="http://schemas.openxmlformats.org/officeDocument/2006/relationships/hyperlink" Target="#&apos;C-Reviews&apos;!A33" TargetMode="External"/><Relationship Id="rId89" Type="http://schemas.openxmlformats.org/officeDocument/2006/relationships/hyperlink" Target="https://utl.tools/tools/bmi-calculator" TargetMode="External"/><Relationship Id="rId90" Type="http://schemas.openxmlformats.org/officeDocument/2006/relationships/hyperlink" Target="http://localhost:3000/tools/bmi-calculator" TargetMode="External"/><Relationship Id="rId91" Type="http://schemas.openxmlformats.org/officeDocument/2006/relationships/hyperlink" Target="#&apos;C-Reviews&apos;!A34" TargetMode="External"/><Relationship Id="rId92" Type="http://schemas.openxmlformats.org/officeDocument/2006/relationships/hyperlink" Target="https://utl.tools/tools/age-calculator" TargetMode="External"/><Relationship Id="rId93" Type="http://schemas.openxmlformats.org/officeDocument/2006/relationships/hyperlink" Target="http://localhost:3000/tools/age-calculator" TargetMode="External"/><Relationship Id="rId94" Type="http://schemas.openxmlformats.org/officeDocument/2006/relationships/hyperlink" Target="#&apos;C-Reviews&apos;!A35" TargetMode="External"/><Relationship Id="rId95" Type="http://schemas.openxmlformats.org/officeDocument/2006/relationships/hyperlink" Target="https://utl.tools/tools/water-intake-calculator" TargetMode="External"/><Relationship Id="rId96" Type="http://schemas.openxmlformats.org/officeDocument/2006/relationships/hyperlink" Target="http://localhost:3000/tools/water-intake-calculator" TargetMode="External"/><Relationship Id="rId97" Type="http://schemas.openxmlformats.org/officeDocument/2006/relationships/hyperlink" Target="#&apos;C-Reviews&apos;!A36" TargetMode="External"/><Relationship Id="rId98" Type="http://schemas.openxmlformats.org/officeDocument/2006/relationships/hyperlink" Target="https://utl.tools/tools/word-counter" TargetMode="External"/><Relationship Id="rId99" Type="http://schemas.openxmlformats.org/officeDocument/2006/relationships/hyperlink" Target="http://localhost:3000/tools/word-counter" TargetMode="External"/><Relationship Id="rId100" Type="http://schemas.openxmlformats.org/officeDocument/2006/relationships/hyperlink" Target="#&apos;C-Reviews&apos;!A37" TargetMode="External"/><Relationship Id="rId101" Type="http://schemas.openxmlformats.org/officeDocument/2006/relationships/hyperlink" Target="https://utl.tools/tools/gpa-calculator" TargetMode="External"/><Relationship Id="rId102" Type="http://schemas.openxmlformats.org/officeDocument/2006/relationships/hyperlink" Target="http://localhost:3000/tools/gpa-calculator" TargetMode="External"/><Relationship Id="rId103" Type="http://schemas.openxmlformats.org/officeDocument/2006/relationships/hyperlink" Target="#&apos;C-Reviews&apos;!A38" TargetMode="External"/><Relationship Id="rId104" Type="http://schemas.openxmlformats.org/officeDocument/2006/relationships/hyperlink" Target="https://utl.tools/tools/color-converter" TargetMode="External"/><Relationship Id="rId105" Type="http://schemas.openxmlformats.org/officeDocument/2006/relationships/hyperlink" Target="http://localhost:3000/tools/color-converter" TargetMode="External"/><Relationship Id="rId106" Type="http://schemas.openxmlformats.org/officeDocument/2006/relationships/hyperlink" Target="#&apos;C-Reviews&apos;!A39" TargetMode="External"/><Relationship Id="rId107" Type="http://schemas.openxmlformats.org/officeDocument/2006/relationships/hyperlink" Target="https://utl.tools/tools/aspect-ratio-calculator" TargetMode="External"/><Relationship Id="rId108" Type="http://schemas.openxmlformats.org/officeDocument/2006/relationships/hyperlink" Target="http://localhost:3000/tools/aspect-ratio-calculator" TargetMode="External"/><Relationship Id="rId109" Type="http://schemas.openxmlformats.org/officeDocument/2006/relationships/hyperlink" Target="#&apos;C-Reviews&apos;!A40" TargetMode="External"/><Relationship Id="rId110" Type="http://schemas.openxmlformats.org/officeDocument/2006/relationships/hyperlink" Target="https://utl.tools/tools/token-counter" TargetMode="External"/><Relationship Id="rId111" Type="http://schemas.openxmlformats.org/officeDocument/2006/relationships/hyperlink" Target="http://localhost:3000/tools/token-counter" TargetMode="External"/><Relationship Id="rId112" Type="http://schemas.openxmlformats.org/officeDocument/2006/relationships/hyperlink" Target="#&apos;C-Reviews&apos;!A41" TargetMode="External"/><Relationship Id="rId113" Type="http://schemas.openxmlformats.org/officeDocument/2006/relationships/hyperlink" Target="https://utl.tools/tools/prompt-enhancer" TargetMode="External"/><Relationship Id="rId114" Type="http://schemas.openxmlformats.org/officeDocument/2006/relationships/hyperlink" Target="http://localhost:3000/tools/prompt-enhancer" TargetMode="External"/><Relationship Id="rId115" Type="http://schemas.openxmlformats.org/officeDocument/2006/relationships/hyperlink" Target="#&apos;C-Reviews&apos;!A42" TargetMode="External"/><Relationship Id="rId116" Type="http://schemas.openxmlformats.org/officeDocument/2006/relationships/hyperlink" Target="https://utl.tools/tools/talking-alarm-clock" TargetMode="External"/><Relationship Id="rId117" Type="http://schemas.openxmlformats.org/officeDocument/2006/relationships/hyperlink" Target="http://localhost:3000/tools/talking-alarm-clock" TargetMode="External"/><Relationship Id="rId118" Type="http://schemas.openxmlformats.org/officeDocument/2006/relationships/hyperlink" Target="#&apos;C-Reviews&apos;!A43" TargetMode="External"/><Relationship Id="rId119" Type="http://schemas.openxmlformats.org/officeDocument/2006/relationships/hyperlink" Target="https://utl.tools/tools/diff-checker" TargetMode="External"/><Relationship Id="rId120" Type="http://schemas.openxmlformats.org/officeDocument/2006/relationships/hyperlink" Target="http://localhost:3000/tools/diff-checker" TargetMode="External"/><Relationship Id="rId121" Type="http://schemas.openxmlformats.org/officeDocument/2006/relationships/hyperlink" Target="#&apos;C-Reviews&apos;!A44" TargetMode="External"/><Relationship Id="rId122" Type="http://schemas.openxmlformats.org/officeDocument/2006/relationships/hyperlink" Target="https://utl.tools/tools/markdown-previewer" TargetMode="External"/><Relationship Id="rId123" Type="http://schemas.openxmlformats.org/officeDocument/2006/relationships/hyperlink" Target="http://localhost:3000/tools/markdown-previewer" TargetMode="External"/><Relationship Id="rId124" Type="http://schemas.openxmlformats.org/officeDocument/2006/relationships/hyperlink" Target="#&apos;C-Reviews&apos;!A45" TargetMode="External"/><Relationship Id="rId125" Type="http://schemas.openxmlformats.org/officeDocument/2006/relationships/hyperlink" Target="https://utl.tools/tools/csv-json-converter" TargetMode="External"/><Relationship Id="rId126" Type="http://schemas.openxmlformats.org/officeDocument/2006/relationships/hyperlink" Target="http://localhost:3000/tools/csv-json-converter" TargetMode="External"/><Relationship Id="rId127" Type="http://schemas.openxmlformats.org/officeDocument/2006/relationships/hyperlink" Target="#&apos;C-Reviews&apos;!A46" TargetMode="External"/><Relationship Id="rId128" Type="http://schemas.openxmlformats.org/officeDocument/2006/relationships/hyperlink" Target="https://utl.tools/tools/unit-converter" TargetMode="External"/><Relationship Id="rId129" Type="http://schemas.openxmlformats.org/officeDocument/2006/relationships/hyperlink" Target="http://localhost:3000/tools/unit-converter" TargetMode="External"/><Relationship Id="rId130" Type="http://schemas.openxmlformats.org/officeDocument/2006/relationships/hyperlink" Target="#&apos;C-Reviews&apos;!A47" TargetMode="External"/><Relationship Id="rId131" Type="http://schemas.openxmlformats.org/officeDocument/2006/relationships/hyperlink" Target="https://utl.tools/tools/lorem-ipsum-generator" TargetMode="External"/><Relationship Id="rId132" Type="http://schemas.openxmlformats.org/officeDocument/2006/relationships/hyperlink" Target="http://localhost:3000/tools/lorem-ipsum-generator" TargetMode="External"/><Relationship Id="rId133" Type="http://schemas.openxmlformats.org/officeDocument/2006/relationships/hyperlink" Target="#&apos;C-Reviews&apos;!A48" TargetMode="External"/><Relationship Id="rId134" Type="http://schemas.openxmlformats.org/officeDocument/2006/relationships/hyperlink" Target="https://utl.tools/tools/case-converter" TargetMode="External"/><Relationship Id="rId135" Type="http://schemas.openxmlformats.org/officeDocument/2006/relationships/hyperlink" Target="http://localhost:3000/tools/case-converter" TargetMode="External"/><Relationship Id="rId136" Type="http://schemas.openxmlformats.org/officeDocument/2006/relationships/hyperlink" Target="#&apos;C-Reviews&apos;!A49" TargetMode="External"/><Relationship Id="rId137" Type="http://schemas.openxmlformats.org/officeDocument/2006/relationships/hyperlink" Target="https://utl.tools/tools/hash-generator" TargetMode="External"/><Relationship Id="rId138" Type="http://schemas.openxmlformats.org/officeDocument/2006/relationships/hyperlink" Target="http://localhost:3000/tools/hash-generator" TargetMode="External"/><Relationship Id="rId139" Type="http://schemas.openxmlformats.org/officeDocument/2006/relationships/hyperlink" Target="#&apos;C-Reviews&apos;!A50" TargetMode="External"/><Relationship Id="rId140" Type="http://schemas.openxmlformats.org/officeDocument/2006/relationships/hyperlink" Target="https://utl.tools/tools/stopwatch-timer" TargetMode="External"/><Relationship Id="rId141" Type="http://schemas.openxmlformats.org/officeDocument/2006/relationships/hyperlink" Target="http://localhost:3000/tools/stopwatch-timer" TargetMode="External"/><Relationship Id="rId142" Type="http://schemas.openxmlformats.org/officeDocument/2006/relationships/hyperlink" Target="#&apos;C-Reviews&apos;!A51"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tools/talking-alarm-clock" TargetMode="External"/><Relationship Id="rId9" Type="http://schemas.openxmlformats.org/officeDocument/2006/relationships/hyperlink" Target="https://utl.tools/tools/talking-alarm-clock" TargetMode="External"/><Relationship Id="rId10" Type="http://schemas.openxmlformats.org/officeDocument/2006/relationships/hyperlink" Target="https://utl.tools/tools/random-picker" TargetMode="External"/><Relationship Id="rId11" Type="http://schemas.openxmlformats.org/officeDocument/2006/relationships/hyperlink" Target="https://utl.tools/tools/random-picker" TargetMode="External"/><Relationship Id="rId12" Type="http://schemas.openxmlformats.org/officeDocument/2006/relationships/hyperlink" Target="https://utl.tools/tools/browser-info" TargetMode="External"/><Relationship Id="rId13" Type="http://schemas.openxmlformats.org/officeDocument/2006/relationships/hyperlink" Target="https://utl.tools/tools/browser-info" TargetMode="External"/><Relationship Id="rId14" Type="http://schemas.openxmlformats.org/officeDocument/2006/relationships/hyperlink" Target="https://utl.tools" TargetMode="External"/><Relationship Id="rId15" Type="http://schemas.openxmlformats.org/officeDocument/2006/relationships/hyperlink" Target="https://utl.tools" TargetMode="External"/><Relationship Id="rId16" Type="http://schemas.openxmlformats.org/officeDocument/2006/relationships/hyperlink" Target="https://utl.tools" TargetMode="External"/><Relationship Id="rId17" Type="http://schemas.openxmlformats.org/officeDocument/2006/relationships/hyperlink" Target="https://utl-tools-q2gt0a44c-devmallik4321-6559s-projects.vercel.app" TargetMode="External"/><Relationship Id="rId18" Type="http://schemas.openxmlformats.org/officeDocument/2006/relationships/hyperlink" Target="https://utl.tools" TargetMode="External"/><Relationship Id="rId19" Type="http://schemas.openxmlformats.org/officeDocument/2006/relationships/hyperlink" Target="https://utl.tools"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tools/browser-info" TargetMode="External"/><Relationship Id="rId7" Type="http://schemas.openxmlformats.org/officeDocument/2006/relationships/hyperlink" Target="https://utl.tools"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C-Changes&apos;!A2" TargetMode="External"/><Relationship Id="rId3" Type="http://schemas.openxmlformats.org/officeDocument/2006/relationships/hyperlink" Target="#&apos;C-Changes&apos;!A3" TargetMode="External"/><Relationship Id="rId4" Type="http://schemas.openxmlformats.org/officeDocument/2006/relationships/hyperlink" Target="#&apos;C-Changes&apos;!A4" TargetMode="External"/><Relationship Id="rId5" Type="http://schemas.openxmlformats.org/officeDocument/2006/relationships/hyperlink" Target="#&apos;C-Candidates&apos;!A1"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https://utl.tools" TargetMode="External"/><Relationship Id="rId10" Type="http://schemas.openxmlformats.org/officeDocument/2006/relationships/hyperlink" Target="https://utl.tools" TargetMode="External"/><Relationship Id="rId11" Type="http://schemas.openxmlformats.org/officeDocument/2006/relationships/hyperlink" Target="https://utl.tools"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leases&apos;!A1"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localhost:3000/tools/random-number-generator" TargetMode="External"/><Relationship Id="rId5" Type="http://schemas.openxmlformats.org/officeDocument/2006/relationships/hyperlink" Target="https://utl.tools" TargetMode="External"/><Relationship Id="rId6" Type="http://schemas.openxmlformats.org/officeDocument/2006/relationships/hyperlink" Target="https://utl.tools/tools/spin-wheel" TargetMode="External"/><Relationship Id="rId7" Type="http://schemas.openxmlformats.org/officeDocument/2006/relationships/hyperlink" Target="http://localhost:3000/tools/spin-wheel" TargetMode="External"/><Relationship Id="rId8" Type="http://schemas.openxmlformats.org/officeDocument/2006/relationships/hyperlink" Target="https://utl.tools" TargetMode="External"/><Relationship Id="rId9" Type="http://schemas.openxmlformats.org/officeDocument/2006/relationships/hyperlink" Target="https://utl.tools/tools/coin-flip" TargetMode="External"/><Relationship Id="rId10" Type="http://schemas.openxmlformats.org/officeDocument/2006/relationships/hyperlink" Target="http://localhost:3000/tools/coin-flip" TargetMode="External"/><Relationship Id="rId11" Type="http://schemas.openxmlformats.org/officeDocument/2006/relationships/hyperlink" Target="https://utl.tools" TargetMode="External"/><Relationship Id="rId12" Type="http://schemas.openxmlformats.org/officeDocument/2006/relationships/hyperlink" Target="https://utl.tools/tools/dice-roller" TargetMode="External"/><Relationship Id="rId13" Type="http://schemas.openxmlformats.org/officeDocument/2006/relationships/hyperlink" Target="http://localhost:3000/tools/dice-roller" TargetMode="External"/><Relationship Id="rId14" Type="http://schemas.openxmlformats.org/officeDocument/2006/relationships/hyperlink" Target="https://utl.tools" TargetMode="External"/><Relationship Id="rId15" Type="http://schemas.openxmlformats.org/officeDocument/2006/relationships/hyperlink" Target="https://utl.tools/tools/random-picker" TargetMode="External"/><Relationship Id="rId16" Type="http://schemas.openxmlformats.org/officeDocument/2006/relationships/hyperlink" Target="http://localhost:3000/tools/random-picker" TargetMode="External"/><Relationship Id="rId17" Type="http://schemas.openxmlformats.org/officeDocument/2006/relationships/hyperlink" Target="https://utl.tools" TargetMode="External"/><Relationship Id="rId18" Type="http://schemas.openxmlformats.org/officeDocument/2006/relationships/hyperlink" Target="https://utl.tools/tools/password-generator" TargetMode="External"/><Relationship Id="rId19" Type="http://schemas.openxmlformats.org/officeDocument/2006/relationships/hyperlink" Target="http://localhost:3000/tools/password-generator" TargetMode="External"/><Relationship Id="rId20" Type="http://schemas.openxmlformats.org/officeDocument/2006/relationships/hyperlink" Target="https://utl.tools" TargetMode="External"/><Relationship Id="rId21" Type="http://schemas.openxmlformats.org/officeDocument/2006/relationships/hyperlink" Target="https://utl.tools/tools/username-generator" TargetMode="External"/><Relationship Id="rId22" Type="http://schemas.openxmlformats.org/officeDocument/2006/relationships/hyperlink" Target="http://localhost:3000/tools/username-generator" TargetMode="External"/><Relationship Id="rId23" Type="http://schemas.openxmlformats.org/officeDocument/2006/relationships/hyperlink" Target="https://utl.tools" TargetMode="External"/><Relationship Id="rId24" Type="http://schemas.openxmlformats.org/officeDocument/2006/relationships/hyperlink" Target="https://utl.tools/tools/my-ip" TargetMode="External"/><Relationship Id="rId25" Type="http://schemas.openxmlformats.org/officeDocument/2006/relationships/hyperlink" Target="http://localhost:3000/tools/my-ip" TargetMode="External"/><Relationship Id="rId26" Type="http://schemas.openxmlformats.org/officeDocument/2006/relationships/hyperlink" Target="https://utl.tools" TargetMode="External"/><Relationship Id="rId27" Type="http://schemas.openxmlformats.org/officeDocument/2006/relationships/hyperlink" Target="https://utl.tools/tools/browser-info" TargetMode="External"/><Relationship Id="rId28" Type="http://schemas.openxmlformats.org/officeDocument/2006/relationships/hyperlink" Target="http://localhost:3000/tools/browser-info" TargetMode="External"/><Relationship Id="rId29" Type="http://schemas.openxmlformats.org/officeDocument/2006/relationships/hyperlink" Target="https://utl.tools" TargetMode="External"/><Relationship Id="rId30" Type="http://schemas.openxmlformats.org/officeDocument/2006/relationships/hyperlink" Target="https://utl.tools/tools/screen-resolution" TargetMode="External"/><Relationship Id="rId31" Type="http://schemas.openxmlformats.org/officeDocument/2006/relationships/hyperlink" Target="http://localhost:3000/tools/screen-resolution" TargetMode="External"/><Relationship Id="rId32" Type="http://schemas.openxmlformats.org/officeDocument/2006/relationships/hyperlink" Target="https://utl.tools" TargetMode="External"/><Relationship Id="rId33" Type="http://schemas.openxmlformats.org/officeDocument/2006/relationships/hyperlink" Target="https://utl.tools/tools/ping-test" TargetMode="External"/><Relationship Id="rId34" Type="http://schemas.openxmlformats.org/officeDocument/2006/relationships/hyperlink" Target="http://localhost:3000/tools/ping-test" TargetMode="External"/><Relationship Id="rId35" Type="http://schemas.openxmlformats.org/officeDocument/2006/relationships/hyperlink" Target="https://utl.tools" TargetMode="External"/><Relationship Id="rId36" Type="http://schemas.openxmlformats.org/officeDocument/2006/relationships/hyperlink" Target="https://utl.tools/tools/dns-lookup" TargetMode="External"/><Relationship Id="rId37" Type="http://schemas.openxmlformats.org/officeDocument/2006/relationships/hyperlink" Target="http://localhost:3000/tools/dns-lookup" TargetMode="External"/><Relationship Id="rId38" Type="http://schemas.openxmlformats.org/officeDocument/2006/relationships/hyperlink" Target="https://utl.tools" TargetMode="External"/><Relationship Id="rId39" Type="http://schemas.openxmlformats.org/officeDocument/2006/relationships/hyperlink" Target="https://utl.tools/tools/user-agent-checker" TargetMode="External"/><Relationship Id="rId40" Type="http://schemas.openxmlformats.org/officeDocument/2006/relationships/hyperlink" Target="http://localhost:3000/tools/user-agent-checker" TargetMode="External"/><Relationship Id="rId41" Type="http://schemas.openxmlformats.org/officeDocument/2006/relationships/hyperlink" Target="https://utl.tools" TargetMode="External"/><Relationship Id="rId42" Type="http://schemas.openxmlformats.org/officeDocument/2006/relationships/hyperlink" Target="https://utl.tools/tools/json-formatter" TargetMode="External"/><Relationship Id="rId43" Type="http://schemas.openxmlformats.org/officeDocument/2006/relationships/hyperlink" Target="http://localhost:3000/tools/json-formatter" TargetMode="External"/><Relationship Id="rId44" Type="http://schemas.openxmlformats.org/officeDocument/2006/relationships/hyperlink" Target="https://utl.tools" TargetMode="External"/><Relationship Id="rId45" Type="http://schemas.openxmlformats.org/officeDocument/2006/relationships/hyperlink" Target="https://utl.tools/tools/json-validator" TargetMode="External"/><Relationship Id="rId46" Type="http://schemas.openxmlformats.org/officeDocument/2006/relationships/hyperlink" Target="http://localhost:3000/tools/json-validator" TargetMode="External"/><Relationship Id="rId47" Type="http://schemas.openxmlformats.org/officeDocument/2006/relationships/hyperlink" Target="https://utl.tools" TargetMode="External"/><Relationship Id="rId48" Type="http://schemas.openxmlformats.org/officeDocument/2006/relationships/hyperlink" Target="https://utl.tools/tools/base64-encoder" TargetMode="External"/><Relationship Id="rId49" Type="http://schemas.openxmlformats.org/officeDocument/2006/relationships/hyperlink" Target="http://localhost:3000/tools/base64-encoder" TargetMode="External"/><Relationship Id="rId50" Type="http://schemas.openxmlformats.org/officeDocument/2006/relationships/hyperlink" Target="https://utl.tools" TargetMode="External"/><Relationship Id="rId51" Type="http://schemas.openxmlformats.org/officeDocument/2006/relationships/hyperlink" Target="https://utl.tools/tools/base64-decoder" TargetMode="External"/><Relationship Id="rId52" Type="http://schemas.openxmlformats.org/officeDocument/2006/relationships/hyperlink" Target="http://localhost:3000/tools/base64-decoder" TargetMode="External"/><Relationship Id="rId53" Type="http://schemas.openxmlformats.org/officeDocument/2006/relationships/hyperlink" Target="https://utl.tools" TargetMode="External"/><Relationship Id="rId54" Type="http://schemas.openxmlformats.org/officeDocument/2006/relationships/hyperlink" Target="https://utl.tools/tools/uuid-generator" TargetMode="External"/><Relationship Id="rId55" Type="http://schemas.openxmlformats.org/officeDocument/2006/relationships/hyperlink" Target="http://localhost:3000/tools/uuid-generator" TargetMode="External"/><Relationship Id="rId56" Type="http://schemas.openxmlformats.org/officeDocument/2006/relationships/hyperlink" Target="https://utl.tools" TargetMode="External"/><Relationship Id="rId57" Type="http://schemas.openxmlformats.org/officeDocument/2006/relationships/hyperlink" Target="https://utl.tools/tools/timestamp-converter" TargetMode="External"/><Relationship Id="rId58" Type="http://schemas.openxmlformats.org/officeDocument/2006/relationships/hyperlink" Target="http://localhost:3000/tools/timestamp-converter" TargetMode="External"/><Relationship Id="rId59" Type="http://schemas.openxmlformats.org/officeDocument/2006/relationships/hyperlink" Target="https://utl.tools" TargetMode="External"/><Relationship Id="rId60" Type="http://schemas.openxmlformats.org/officeDocument/2006/relationships/hyperlink" Target="https://utl.tools/tools/url-encoder" TargetMode="External"/><Relationship Id="rId61" Type="http://schemas.openxmlformats.org/officeDocument/2006/relationships/hyperlink" Target="http://localhost:3000/tools/url-encoder" TargetMode="External"/><Relationship Id="rId62" Type="http://schemas.openxmlformats.org/officeDocument/2006/relationships/hyperlink" Target="https://utl.tools" TargetMode="External"/><Relationship Id="rId63" Type="http://schemas.openxmlformats.org/officeDocument/2006/relationships/hyperlink" Target="https://utl.tools/tools/url-decoder" TargetMode="External"/><Relationship Id="rId64" Type="http://schemas.openxmlformats.org/officeDocument/2006/relationships/hyperlink" Target="http://localhost:3000/tools/url-decoder" TargetMode="External"/><Relationship Id="rId65" Type="http://schemas.openxmlformats.org/officeDocument/2006/relationships/hyperlink" Target="https://utl.tools" TargetMode="External"/><Relationship Id="rId66" Type="http://schemas.openxmlformats.org/officeDocument/2006/relationships/hyperlink" Target="https://utl.tools/tools/qr-code-generator" TargetMode="External"/><Relationship Id="rId67" Type="http://schemas.openxmlformats.org/officeDocument/2006/relationships/hyperlink" Target="http://localhost:3000/tools/qr-code-generator" TargetMode="External"/><Relationship Id="rId68" Type="http://schemas.openxmlformats.org/officeDocument/2006/relationships/hyperlink" Target="https://utl.tools" TargetMode="External"/><Relationship Id="rId69" Type="http://schemas.openxmlformats.org/officeDocument/2006/relationships/hyperlink" Target="https://utl.tools/tools/email-signature-generator" TargetMode="External"/><Relationship Id="rId70" Type="http://schemas.openxmlformats.org/officeDocument/2006/relationships/hyperlink" Target="http://localhost:3000/tools/email-signature-generator" TargetMode="External"/><Relationship Id="rId71" Type="http://schemas.openxmlformats.org/officeDocument/2006/relationships/hyperlink" Target="https://utl.tools" TargetMode="External"/><Relationship Id="rId72" Type="http://schemas.openxmlformats.org/officeDocument/2006/relationships/hyperlink" Target="https://utl.tools/tools/business-name-generator" TargetMode="External"/><Relationship Id="rId73" Type="http://schemas.openxmlformats.org/officeDocument/2006/relationships/hyperlink" Target="http://localhost:3000/tools/business-name-generator" TargetMode="External"/><Relationship Id="rId74" Type="http://schemas.openxmlformats.org/officeDocument/2006/relationships/hyperlink" Target="https://utl.tools" TargetMode="External"/><Relationship Id="rId75" Type="http://schemas.openxmlformats.org/officeDocument/2006/relationships/hyperlink" Target="https://utl.tools/tools/invoice-generator" TargetMode="External"/><Relationship Id="rId76" Type="http://schemas.openxmlformats.org/officeDocument/2006/relationships/hyperlink" Target="http://localhost:3000/tools/invoice-generator" TargetMode="External"/><Relationship Id="rId77" Type="http://schemas.openxmlformats.org/officeDocument/2006/relationships/hyperlink" Target="https://utl.tools" TargetMode="External"/><Relationship Id="rId78" Type="http://schemas.openxmlformats.org/officeDocument/2006/relationships/hyperlink" Target="https://utl.tools/tools/percentage-calculator" TargetMode="External"/><Relationship Id="rId79" Type="http://schemas.openxmlformats.org/officeDocument/2006/relationships/hyperlink" Target="http://localhost:3000/tools/percentage-calculator" TargetMode="External"/><Relationship Id="rId80" Type="http://schemas.openxmlformats.org/officeDocument/2006/relationships/hyperlink" Target="https://utl.tools" TargetMode="External"/><Relationship Id="rId81" Type="http://schemas.openxmlformats.org/officeDocument/2006/relationships/hyperlink" Target="https://utl.tools/tools/compound-interest-calculator" TargetMode="External"/><Relationship Id="rId82" Type="http://schemas.openxmlformats.org/officeDocument/2006/relationships/hyperlink" Target="http://localhost:3000/tools/compound-interest-calculator" TargetMode="External"/><Relationship Id="rId83" Type="http://schemas.openxmlformats.org/officeDocument/2006/relationships/hyperlink" Target="https://utl.tools" TargetMode="External"/><Relationship Id="rId84" Type="http://schemas.openxmlformats.org/officeDocument/2006/relationships/hyperlink" Target="https://utl.tools/tools/loan-calculator" TargetMode="External"/><Relationship Id="rId85" Type="http://schemas.openxmlformats.org/officeDocument/2006/relationships/hyperlink" Target="http://localhost:3000/tools/loan-calculator" TargetMode="External"/><Relationship Id="rId86" Type="http://schemas.openxmlformats.org/officeDocument/2006/relationships/hyperlink" Target="https://utl.tools" TargetMode="External"/><Relationship Id="rId87" Type="http://schemas.openxmlformats.org/officeDocument/2006/relationships/hyperlink" Target="https://utl.tools/tools/discount-calculator" TargetMode="External"/><Relationship Id="rId88" Type="http://schemas.openxmlformats.org/officeDocument/2006/relationships/hyperlink" Target="http://localhost:3000/tools/discount-calculator" TargetMode="External"/><Relationship Id="rId89" Type="http://schemas.openxmlformats.org/officeDocument/2006/relationships/hyperlink" Target="https://utl.tools" TargetMode="External"/><Relationship Id="rId90" Type="http://schemas.openxmlformats.org/officeDocument/2006/relationships/hyperlink" Target="https://utl.tools/tools/bmi-calculator" TargetMode="External"/><Relationship Id="rId91" Type="http://schemas.openxmlformats.org/officeDocument/2006/relationships/hyperlink" Target="http://localhost:3000/tools/bmi-calculator" TargetMode="External"/><Relationship Id="rId92" Type="http://schemas.openxmlformats.org/officeDocument/2006/relationships/hyperlink" Target="https://utl.tools" TargetMode="External"/><Relationship Id="rId93" Type="http://schemas.openxmlformats.org/officeDocument/2006/relationships/hyperlink" Target="https://utl.tools/tools/age-calculator" TargetMode="External"/><Relationship Id="rId94" Type="http://schemas.openxmlformats.org/officeDocument/2006/relationships/hyperlink" Target="http://localhost:3000/tools/age-calculator" TargetMode="External"/><Relationship Id="rId95" Type="http://schemas.openxmlformats.org/officeDocument/2006/relationships/hyperlink" Target="https://utl.tools" TargetMode="External"/><Relationship Id="rId96" Type="http://schemas.openxmlformats.org/officeDocument/2006/relationships/hyperlink" Target="https://utl.tools/tools/water-intake-calculator" TargetMode="External"/><Relationship Id="rId97" Type="http://schemas.openxmlformats.org/officeDocument/2006/relationships/hyperlink" Target="http://localhost:3000/tools/water-intake-calculator" TargetMode="External"/><Relationship Id="rId98" Type="http://schemas.openxmlformats.org/officeDocument/2006/relationships/hyperlink" Target="https://utl.tools" TargetMode="External"/><Relationship Id="rId99" Type="http://schemas.openxmlformats.org/officeDocument/2006/relationships/hyperlink" Target="https://utl.tools/tools/word-counter" TargetMode="External"/><Relationship Id="rId100" Type="http://schemas.openxmlformats.org/officeDocument/2006/relationships/hyperlink" Target="http://localhost:3000/tools/word-counter" TargetMode="External"/><Relationship Id="rId101" Type="http://schemas.openxmlformats.org/officeDocument/2006/relationships/hyperlink" Target="https://utl.tools" TargetMode="External"/><Relationship Id="rId102" Type="http://schemas.openxmlformats.org/officeDocument/2006/relationships/hyperlink" Target="https://utl.tools/tools/gpa-calculator" TargetMode="External"/><Relationship Id="rId103" Type="http://schemas.openxmlformats.org/officeDocument/2006/relationships/hyperlink" Target="http://localhost:3000/tools/gpa-calculator" TargetMode="External"/><Relationship Id="rId104" Type="http://schemas.openxmlformats.org/officeDocument/2006/relationships/hyperlink" Target="https://utl.tools" TargetMode="External"/><Relationship Id="rId105" Type="http://schemas.openxmlformats.org/officeDocument/2006/relationships/hyperlink" Target="https://utl.tools/tools/color-converter" TargetMode="External"/><Relationship Id="rId106" Type="http://schemas.openxmlformats.org/officeDocument/2006/relationships/hyperlink" Target="http://localhost:3000/tools/color-converter" TargetMode="External"/><Relationship Id="rId107" Type="http://schemas.openxmlformats.org/officeDocument/2006/relationships/hyperlink" Target="https://utl.tools" TargetMode="External"/><Relationship Id="rId108" Type="http://schemas.openxmlformats.org/officeDocument/2006/relationships/hyperlink" Target="https://utl.tools/tools/aspect-ratio-calculator" TargetMode="External"/><Relationship Id="rId109" Type="http://schemas.openxmlformats.org/officeDocument/2006/relationships/hyperlink" Target="http://localhost:3000/tools/aspect-ratio-calculator" TargetMode="External"/><Relationship Id="rId110" Type="http://schemas.openxmlformats.org/officeDocument/2006/relationships/hyperlink" Target="https://utl.tools" TargetMode="External"/><Relationship Id="rId111" Type="http://schemas.openxmlformats.org/officeDocument/2006/relationships/hyperlink" Target="https://utl.tools/tools/token-counter" TargetMode="External"/><Relationship Id="rId112" Type="http://schemas.openxmlformats.org/officeDocument/2006/relationships/hyperlink" Target="http://localhost:3000/tools/token-counter" TargetMode="External"/><Relationship Id="rId113" Type="http://schemas.openxmlformats.org/officeDocument/2006/relationships/hyperlink" Target="https://utl.tools" TargetMode="External"/><Relationship Id="rId114" Type="http://schemas.openxmlformats.org/officeDocument/2006/relationships/hyperlink" Target="https://utl.tools/tools/prompt-enhancer" TargetMode="External"/><Relationship Id="rId115" Type="http://schemas.openxmlformats.org/officeDocument/2006/relationships/hyperlink" Target="http://localhost:3000/tools/prompt-enhancer" TargetMode="External"/><Relationship Id="rId116" Type="http://schemas.openxmlformats.org/officeDocument/2006/relationships/hyperlink" Target="https://utl.tools" TargetMode="External"/><Relationship Id="rId117" Type="http://schemas.openxmlformats.org/officeDocument/2006/relationships/hyperlink" Target="https://utl.tools/tools/talking-alarm-clock" TargetMode="External"/><Relationship Id="rId118" Type="http://schemas.openxmlformats.org/officeDocument/2006/relationships/hyperlink" Target="http://localhost:3000/tools/talking-alarm-clock" TargetMode="External"/><Relationship Id="rId119" Type="http://schemas.openxmlformats.org/officeDocument/2006/relationships/hyperlink" Target="https://utl.tools" TargetMode="External"/><Relationship Id="rId120" Type="http://schemas.openxmlformats.org/officeDocument/2006/relationships/hyperlink" Target="https://utl.tools/tools/diff-checker" TargetMode="External"/><Relationship Id="rId121" Type="http://schemas.openxmlformats.org/officeDocument/2006/relationships/hyperlink" Target="http://localhost:3000/tools/diff-checker" TargetMode="External"/><Relationship Id="rId122" Type="http://schemas.openxmlformats.org/officeDocument/2006/relationships/hyperlink" Target="https://utl.tools" TargetMode="External"/><Relationship Id="rId123" Type="http://schemas.openxmlformats.org/officeDocument/2006/relationships/hyperlink" Target="https://utl.tools/tools/markdown-previewer" TargetMode="External"/><Relationship Id="rId124" Type="http://schemas.openxmlformats.org/officeDocument/2006/relationships/hyperlink" Target="http://localhost:3000/tools/markdown-previewer" TargetMode="External"/><Relationship Id="rId125" Type="http://schemas.openxmlformats.org/officeDocument/2006/relationships/hyperlink" Target="https://utl.tools" TargetMode="External"/><Relationship Id="rId126" Type="http://schemas.openxmlformats.org/officeDocument/2006/relationships/hyperlink" Target="https://utl.tools/tools/csv-json-converter" TargetMode="External"/><Relationship Id="rId127" Type="http://schemas.openxmlformats.org/officeDocument/2006/relationships/hyperlink" Target="http://localhost:3000/tools/csv-json-converter" TargetMode="External"/><Relationship Id="rId128" Type="http://schemas.openxmlformats.org/officeDocument/2006/relationships/hyperlink" Target="https://utl.tools" TargetMode="External"/><Relationship Id="rId129" Type="http://schemas.openxmlformats.org/officeDocument/2006/relationships/hyperlink" Target="https://utl.tools/tools/unit-converter" TargetMode="External"/><Relationship Id="rId130" Type="http://schemas.openxmlformats.org/officeDocument/2006/relationships/hyperlink" Target="http://localhost:3000/tools/unit-converter" TargetMode="External"/><Relationship Id="rId131" Type="http://schemas.openxmlformats.org/officeDocument/2006/relationships/hyperlink" Target="https://utl.tools" TargetMode="External"/><Relationship Id="rId132" Type="http://schemas.openxmlformats.org/officeDocument/2006/relationships/hyperlink" Target="https://utl.tools/tools/lorem-ipsum-generator" TargetMode="External"/><Relationship Id="rId133" Type="http://schemas.openxmlformats.org/officeDocument/2006/relationships/hyperlink" Target="http://localhost:3000/tools/lorem-ipsum-generator" TargetMode="External"/><Relationship Id="rId134" Type="http://schemas.openxmlformats.org/officeDocument/2006/relationships/hyperlink" Target="https://utl.tools" TargetMode="External"/><Relationship Id="rId135" Type="http://schemas.openxmlformats.org/officeDocument/2006/relationships/hyperlink" Target="https://utl.tools/tools/case-converter" TargetMode="External"/><Relationship Id="rId136" Type="http://schemas.openxmlformats.org/officeDocument/2006/relationships/hyperlink" Target="http://localhost:3000/tools/case-converter" TargetMode="External"/><Relationship Id="rId137" Type="http://schemas.openxmlformats.org/officeDocument/2006/relationships/hyperlink" Target="https://utl.tools" TargetMode="External"/><Relationship Id="rId138" Type="http://schemas.openxmlformats.org/officeDocument/2006/relationships/hyperlink" Target="https://utl.tools/tools/hash-generator" TargetMode="External"/><Relationship Id="rId139" Type="http://schemas.openxmlformats.org/officeDocument/2006/relationships/hyperlink" Target="http://localhost:3000/tools/hash-generator" TargetMode="External"/><Relationship Id="rId140" Type="http://schemas.openxmlformats.org/officeDocument/2006/relationships/hyperlink" Target="https://utl.tools" TargetMode="External"/><Relationship Id="rId141" Type="http://schemas.openxmlformats.org/officeDocument/2006/relationships/hyperlink" Target="https://utl.tools/tools/stopwatch-timer" TargetMode="External"/><Relationship Id="rId142" Type="http://schemas.openxmlformats.org/officeDocument/2006/relationships/hyperlink" Target="http://localhost:3000/tools/stopwatch-timer" TargetMode="External"/><Relationship Id="rId143" Type="http://schemas.openxmlformats.org/officeDocument/2006/relationships/hyperlink" Target="https://utl.tools"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 Id="rId3" Type="http://schemas.openxmlformats.org/officeDocument/2006/relationships/hyperlink" Target="https://gchq.github.io/CyberChef/" TargetMode="External"/><Relationship Id="rId4" Type="http://schemas.openxmlformats.org/officeDocument/2006/relationships/hyperlink" Target="https://10015.io" TargetMode="External"/><Relationship Id="rId5" Type="http://schemas.openxmlformats.org/officeDocument/2006/relationships/hyperlink" Target="https://www.omnicalculator.com" TargetMode="External"/><Relationship Id="rId6" Type="http://schemas.openxmlformats.org/officeDocument/2006/relationships/hyperlink" Target="https://www.rapidtables.com" TargetMode="External"/><Relationship Id="rId7" Type="http://schemas.openxmlformats.org/officeDocument/2006/relationships/hyperlink" Target="https://tinywow.com" TargetMode="External"/><Relationship Id="rId8" Type="http://schemas.openxmlformats.org/officeDocument/2006/relationships/hyperlink" Target="https://devutils.com" TargetMode="External"/><Relationship Id="rId9" Type="http://schemas.openxmlformats.org/officeDocument/2006/relationships/hyperlink" Target="https://toolbaz.com"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widgets/item/windows-clock-focus-widget" TargetMode="External"/><Relationship Id="rId4" Type="http://schemas.openxmlformats.org/officeDocument/2006/relationships/hyperlink" Target="https://apps.microsoft.com/detail/9mspc6x88zbb" TargetMode="External"/><Relationship Id="rId5" Type="http://schemas.openxmlformats.org/officeDocument/2006/relationships/hyperlink" Target="https://utl.tools/widgets/item/windows-weather-widget" TargetMode="External"/><Relationship Id="rId6" Type="http://schemas.openxmlformats.org/officeDocument/2006/relationships/hyperlink" Target="https://www.msn.com/weather" TargetMode="External"/><Relationship Id="rId7" Type="http://schemas.openxmlformats.org/officeDocument/2006/relationships/hyperlink" Target="https://utl.tools/widgets/item/xbox-game-bar-performance-widget" TargetMode="External"/><Relationship Id="rId8" Type="http://schemas.openxmlformats.org/officeDocument/2006/relationships/hyperlink" Target="https://support.xbox.com/help/games-apps/game-setup-and-play/get-to-know-game-bar" TargetMode="External"/><Relationship Id="rId9" Type="http://schemas.openxmlformats.org/officeDocument/2006/relationships/hyperlink" Target="https://utl.tools/widgets/item/traffic-monitor-tray" TargetMode="External"/><Relationship Id="rId10" Type="http://schemas.openxmlformats.org/officeDocument/2006/relationships/hyperlink" Target="https://github.com/zhongyang219/TrafficMonitor" TargetMode="External"/><Relationship Id="rId11" Type="http://schemas.openxmlformats.org/officeDocument/2006/relationships/hyperlink" Target="https://utl.tools/widgets/item/devtoys-windows" TargetMode="External"/><Relationship Id="rId12" Type="http://schemas.openxmlformats.org/officeDocument/2006/relationships/hyperlink" Target="https://devtoys.app" TargetMode="External"/><Relationship Id="rId13" Type="http://schemas.openxmlformats.org/officeDocument/2006/relationships/hyperlink" Target="https://utl.tools/widgets/item/edge-sidebar-copilot" TargetMode="External"/><Relationship Id="rId14" Type="http://schemas.openxmlformats.org/officeDocument/2006/relationships/hyperlink" Target="https://www.microsoft.com/edge/copilot" TargetMode="External"/><Relationship Id="rId15" Type="http://schemas.openxmlformats.org/officeDocument/2006/relationships/hyperlink" Target="https://utl.tools/widgets/item/power-toys-always-on-top" TargetMode="External"/><Relationship Id="rId16" Type="http://schemas.openxmlformats.org/officeDocument/2006/relationships/hyperlink" Target="https://learn.microsoft.com/windows/powertoys/" TargetMode="External"/><Relationship Id="rId17" Type="http://schemas.openxmlformats.org/officeDocument/2006/relationships/hyperlink" Target="https://utl.tools/widgets/item/windows-sticky-notes" TargetMode="External"/><Relationship Id="rId18" Type="http://schemas.openxmlformats.org/officeDocument/2006/relationships/hyperlink" Target="https://apps.microsoft.com/detail/9nblggh4qghw" TargetMode="External"/><Relationship Id="rId19" Type="http://schemas.openxmlformats.org/officeDocument/2006/relationships/hyperlink" Target="https://utl.tools/widgets/item/windows-to-do-widget" TargetMode="External"/><Relationship Id="rId20" Type="http://schemas.openxmlformats.org/officeDocument/2006/relationships/hyperlink" Target="https://todo.microsoft.com" TargetMode="External"/><Relationship Id="rId21" Type="http://schemas.openxmlformats.org/officeDocument/2006/relationships/hyperlink" Target="https://utl.tools/widgets/item/rainmeter-system-monitor" TargetMode="External"/><Relationship Id="rId22" Type="http://schemas.openxmlformats.org/officeDocument/2006/relationships/hyperlink" Target="https://www.rainmeter.net" TargetMode="External"/><Relationship Id="rId23" Type="http://schemas.openxmlformats.org/officeDocument/2006/relationships/hyperlink" Target="https://utl.tools/widgets/item/hwinfo-tray-monitor" TargetMode="External"/><Relationship Id="rId24" Type="http://schemas.openxmlformats.org/officeDocument/2006/relationships/hyperlink" Target="https://www.hwinfo.com" TargetMode="External"/><Relationship Id="rId25" Type="http://schemas.openxmlformats.org/officeDocument/2006/relationships/hyperlink" Target="https://utl.tools/widgets/item/msn-money-widget" TargetMode="External"/><Relationship Id="rId26" Type="http://schemas.openxmlformats.org/officeDocument/2006/relationships/hyperlink" Target="https://www.msn.com/money"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5"/>
  <sheetViews>
    <sheetView workbookViewId="0"/>
  </sheetViews>
  <sheetFormatPr defaultRowHeight="15" outlineLevelRow="0" outlineLevelCol="0" x14ac:dyDescent="55"/>
  <cols>
    <col min="1" max="1" width="63" customWidth="1"/>
    <col min="2" max="2" width="15" customWidth="1"/>
    <col min="3" max="3" width="24" customWidth="1"/>
    <col min="4" max="5" width="15" customWidth="1"/>
    <col min="6" max="6" width="63" customWidth="1"/>
    <col min="7" max="7" width="19" customWidth="1"/>
    <col min="8" max="8" width="32" customWidth="1"/>
    <col min="9" max="35" width="15" customWidth="1"/>
  </cols>
  <sheetData>
    <row r="1" ht="36" customHeight="1" spans="1:35" x14ac:dyDescent="0.25">
      <c r="A1" s="1" t="s">
        <v>0</v>
      </c>
    </row>
    <row r="2" spans="1:35" x14ac:dyDescent="0.25">
      <c r="A2" s="2" t="s">
        <v>1</v>
      </c>
    </row>
    <row r="4" ht="26" customHeight="1" spans="1:35" s="3" customFormat="1" x14ac:dyDescent="0.25">
      <c r="A4" s="3" t="s">
        <v>2</v>
      </c>
      <c r="B4" s="3" t="s">
        <v>3</v>
      </c>
      <c r="C4" s="3" t="s">
        <v>4</v>
      </c>
      <c r="D4" s="3" t="s">
        <v>5</v>
      </c>
      <c r="E4" s="3" t="s">
        <v>6</v>
      </c>
      <c r="F4" s="3" t="s">
        <v>7</v>
      </c>
      <c r="G4" s="3" t="s">
        <v>8</v>
      </c>
      <c r="H4" s="3" t="s">
        <v>9</v>
      </c>
      <c r="I4" s="3"/>
      <c r="J4" s="3"/>
      <c r="K4" s="3"/>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10</v>
      </c>
      <c r="C5" s="4" t="s">
        <v>11</v>
      </c>
      <c r="D5" s="4" t="s">
        <v>6</v>
      </c>
      <c r="E5" s="4" t="s">
        <v>12</v>
      </c>
      <c r="F5" s="4" t="s">
        <v>13</v>
      </c>
      <c r="G5" s="4" t="s">
        <v>14</v>
      </c>
      <c r="H5" s="5" t="s">
        <v>15</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16</v>
      </c>
      <c r="C6" s="6" t="s">
        <v>17</v>
      </c>
      <c r="D6" s="6" t="s">
        <v>6</v>
      </c>
      <c r="E6" s="6" t="s">
        <v>11</v>
      </c>
      <c r="F6" s="6" t="s">
        <v>18</v>
      </c>
      <c r="G6" s="6" t="s">
        <v>19</v>
      </c>
      <c r="H6" s="7" t="s">
        <v>20</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21</v>
      </c>
      <c r="C7" s="4" t="s">
        <v>22</v>
      </c>
      <c r="D7" s="4" t="s">
        <v>6</v>
      </c>
      <c r="E7" s="4" t="s">
        <v>11</v>
      </c>
      <c r="F7" s="4" t="s">
        <v>23</v>
      </c>
      <c r="G7" s="4" t="s">
        <v>24</v>
      </c>
      <c r="H7" s="5" t="s">
        <v>25</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26</v>
      </c>
      <c r="C8" s="6" t="s">
        <v>27</v>
      </c>
      <c r="D8" s="6" t="s">
        <v>6</v>
      </c>
      <c r="E8" s="6" t="s">
        <v>11</v>
      </c>
      <c r="F8" s="6" t="s">
        <v>28</v>
      </c>
      <c r="G8" s="6" t="s">
        <v>29</v>
      </c>
      <c r="H8" s="7" t="s">
        <v>30</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v>
      </c>
      <c r="C9" s="4" t="s">
        <v>32</v>
      </c>
      <c r="D9" s="4" t="s">
        <v>6</v>
      </c>
      <c r="E9" s="4" t="s">
        <v>11</v>
      </c>
      <c r="F9" s="4" t="s">
        <v>33</v>
      </c>
      <c r="G9" s="4" t="s">
        <v>34</v>
      </c>
      <c r="H9" s="5" t="s">
        <v>35</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36</v>
      </c>
      <c r="C10" s="6" t="s">
        <v>37</v>
      </c>
      <c r="D10" s="6" t="s">
        <v>6</v>
      </c>
      <c r="E10" s="6" t="s">
        <v>11</v>
      </c>
      <c r="F10" s="6" t="s">
        <v>38</v>
      </c>
      <c r="G10" s="6" t="s">
        <v>39</v>
      </c>
      <c r="H10" s="7" t="s">
        <v>40</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41</v>
      </c>
      <c r="C11" s="4" t="s">
        <v>42</v>
      </c>
      <c r="D11" s="4" t="s">
        <v>6</v>
      </c>
      <c r="E11" s="4" t="s">
        <v>11</v>
      </c>
      <c r="F11" s="4" t="s">
        <v>43</v>
      </c>
      <c r="G11" s="4" t="s">
        <v>44</v>
      </c>
      <c r="H11" s="5" t="s">
        <v>45</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46</v>
      </c>
      <c r="C12" s="6" t="s">
        <v>47</v>
      </c>
      <c r="D12" s="6" t="s">
        <v>6</v>
      </c>
      <c r="E12" s="6" t="s">
        <v>11</v>
      </c>
      <c r="F12" s="6" t="s">
        <v>48</v>
      </c>
      <c r="G12" s="6" t="s">
        <v>49</v>
      </c>
      <c r="H12" s="7" t="s">
        <v>50</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51</v>
      </c>
      <c r="C13" s="4" t="s">
        <v>52</v>
      </c>
      <c r="D13" s="4" t="s">
        <v>6</v>
      </c>
      <c r="E13" s="4" t="s">
        <v>11</v>
      </c>
      <c r="F13" s="4" t="s">
        <v>53</v>
      </c>
      <c r="G13" s="4" t="s">
        <v>54</v>
      </c>
      <c r="H13" s="5" t="s">
        <v>55</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56</v>
      </c>
      <c r="C14" s="6" t="s">
        <v>57</v>
      </c>
      <c r="D14" s="6" t="s">
        <v>58</v>
      </c>
      <c r="E14" s="6" t="s">
        <v>27</v>
      </c>
      <c r="F14" s="6" t="s">
        <v>59</v>
      </c>
      <c r="G14" s="6" t="s">
        <v>60</v>
      </c>
      <c r="H14" s="7" t="s">
        <v>61</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62</v>
      </c>
      <c r="C15" s="4" t="s">
        <v>63</v>
      </c>
      <c r="D15" s="4" t="s">
        <v>58</v>
      </c>
      <c r="E15" s="4" t="s">
        <v>42</v>
      </c>
      <c r="F15" s="4" t="s">
        <v>64</v>
      </c>
      <c r="G15" s="4" t="s">
        <v>65</v>
      </c>
      <c r="H15" s="5" t="s">
        <v>66</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67</v>
      </c>
      <c r="C16" s="6" t="s">
        <v>68</v>
      </c>
      <c r="D16" s="6" t="s">
        <v>58</v>
      </c>
      <c r="E16" s="6" t="s">
        <v>32</v>
      </c>
      <c r="F16" s="6" t="s">
        <v>69</v>
      </c>
      <c r="G16" s="6" t="s">
        <v>70</v>
      </c>
      <c r="H16" s="7" t="s">
        <v>71</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72</v>
      </c>
      <c r="C17" s="4" t="s">
        <v>73</v>
      </c>
      <c r="D17" s="4" t="s">
        <v>58</v>
      </c>
      <c r="E17" s="4" t="s">
        <v>27</v>
      </c>
      <c r="F17" s="4" t="s">
        <v>74</v>
      </c>
      <c r="G17" s="4" t="s">
        <v>75</v>
      </c>
      <c r="H17" s="5" t="s">
        <v>76</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77</v>
      </c>
      <c r="C18" s="6" t="s">
        <v>78</v>
      </c>
      <c r="D18" s="6" t="s">
        <v>58</v>
      </c>
      <c r="E18" s="6" t="s">
        <v>27</v>
      </c>
      <c r="F18" s="6" t="s">
        <v>79</v>
      </c>
      <c r="G18" s="6" t="s">
        <v>80</v>
      </c>
      <c r="H18" s="7" t="s">
        <v>81</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82</v>
      </c>
      <c r="C19" s="4" t="s">
        <v>83</v>
      </c>
      <c r="D19" s="4" t="s">
        <v>58</v>
      </c>
      <c r="E19" s="4" t="s">
        <v>37</v>
      </c>
      <c r="F19" s="4" t="s">
        <v>84</v>
      </c>
      <c r="G19" s="4" t="s">
        <v>85</v>
      </c>
      <c r="H19" s="5" t="s">
        <v>86</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87</v>
      </c>
      <c r="C20" s="6" t="s">
        <v>88</v>
      </c>
      <c r="D20" s="6" t="s">
        <v>58</v>
      </c>
      <c r="E20" s="6" t="s">
        <v>37</v>
      </c>
      <c r="F20" s="6" t="s">
        <v>89</v>
      </c>
      <c r="G20" s="6" t="s">
        <v>90</v>
      </c>
      <c r="H20" s="7" t="s">
        <v>91</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92</v>
      </c>
      <c r="C21" s="4" t="s">
        <v>93</v>
      </c>
      <c r="D21" s="4" t="s">
        <v>58</v>
      </c>
      <c r="E21" s="4" t="s">
        <v>37</v>
      </c>
      <c r="F21" s="4" t="s">
        <v>94</v>
      </c>
      <c r="G21" s="4" t="s">
        <v>95</v>
      </c>
      <c r="H21" s="5" t="s">
        <v>96</v>
      </c>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97</v>
      </c>
      <c r="C22" s="6" t="s">
        <v>98</v>
      </c>
      <c r="D22" s="6" t="s">
        <v>58</v>
      </c>
      <c r="E22" s="6" t="s">
        <v>27</v>
      </c>
      <c r="F22" s="6" t="s">
        <v>99</v>
      </c>
      <c r="G22" s="6" t="s">
        <v>100</v>
      </c>
      <c r="H22" s="7" t="s">
        <v>101</v>
      </c>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102</v>
      </c>
      <c r="C23" s="4" t="s">
        <v>103</v>
      </c>
      <c r="D23" s="4" t="s">
        <v>58</v>
      </c>
      <c r="E23" s="4" t="s">
        <v>27</v>
      </c>
      <c r="F23" s="4" t="s">
        <v>104</v>
      </c>
      <c r="G23" s="4" t="s">
        <v>105</v>
      </c>
      <c r="H23" s="5" t="s">
        <v>106</v>
      </c>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107</v>
      </c>
      <c r="C24" s="6" t="s">
        <v>108</v>
      </c>
      <c r="D24" s="6" t="s">
        <v>58</v>
      </c>
      <c r="E24" s="6" t="s">
        <v>37</v>
      </c>
      <c r="F24" s="6" t="s">
        <v>109</v>
      </c>
      <c r="G24" s="6" t="s">
        <v>110</v>
      </c>
      <c r="H24" s="7" t="s">
        <v>111</v>
      </c>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112</v>
      </c>
      <c r="C25" s="4" t="s">
        <v>113</v>
      </c>
      <c r="D25" s="4" t="s">
        <v>58</v>
      </c>
      <c r="E25" s="4" t="s">
        <v>32</v>
      </c>
      <c r="F25" s="4" t="s">
        <v>114</v>
      </c>
      <c r="G25" s="4" t="s">
        <v>115</v>
      </c>
      <c r="H25" s="5" t="s">
        <v>116</v>
      </c>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sheetData>
  <hyperlinks>
    <hyperlink ref="H5" r:id="rId1" location="#'P-00 INDEX'!A1"/>
    <hyperlink ref="H6" r:id="rId2" location="#'P-Dashboard'!A1"/>
    <hyperlink ref="H7" r:id="rId3" location="#'P-Charter'!A1"/>
    <hyperlink ref="H8" r:id="rId4" location="#'P-Utilities'!A1"/>
    <hyperlink ref="H9" r:id="rId5" location="#'P-Work'!A1"/>
    <hyperlink ref="H10" r:id="rId6" location="#'P-Research'!A1"/>
    <hyperlink ref="H11" r:id="rId7" location="#'P-Releases'!A1"/>
    <hyperlink ref="H12" r:id="rId8" location="#'P-Contexts'!A1"/>
    <hyperlink ref="H13" r:id="rId9" location="#'P-Sessions'!A1"/>
    <hyperlink ref="H14" r:id="rId10" location="#'C-Reviews'!A1"/>
    <hyperlink ref="H15" r:id="rId11" location="#'C-Changes'!A1"/>
    <hyperlink ref="H16" r:id="rId12" location="#'C-TestCases'!A1"/>
    <hyperlink ref="H17" r:id="rId13" location="#'C-SEO'!A1"/>
    <hyperlink ref="H18" r:id="rId14" location="#'C-Trust'!A1"/>
    <hyperlink ref="H19" r:id="rId15" location="#'C-Candidates'!A1"/>
    <hyperlink ref="H20" r:id="rId16" location="#'C-Competitors'!A1"/>
    <hyperlink ref="H21" r:id="rId17" location="#'C-SearchIntel'!A1"/>
    <hyperlink ref="H22" r:id="rId18" location="#'C-Widgets'!A1"/>
    <hyperlink ref="H23" r:id="rId19" location="#'C-WidgetCategories'!A1"/>
    <hyperlink ref="H24" r:id="rId20" location="#'C-GrowthObservations'!A1"/>
    <hyperlink ref="H25" r:id="rId21" location="#'C-GrowthOpportunities'!A1"/>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3"/>
  <sheetViews>
    <sheetView workbookViewId="0"/>
  </sheetViews>
  <sheetFormatPr defaultRowHeight="15" outlineLevelRow="0" outlineLevelCol="0" x14ac:dyDescent="55"/>
  <cols>
    <col min="1" max="1" width="63" customWidth="1"/>
    <col min="2" max="2" width="37" customWidth="1"/>
    <col min="3" max="3" width="63" customWidth="1"/>
    <col min="4" max="4" width="30" customWidth="1"/>
    <col min="5" max="5" width="28" customWidth="1"/>
    <col min="6" max="35" width="15" customWidth="1"/>
  </cols>
  <sheetData>
    <row r="1" ht="24" customHeight="1" spans="1:35" x14ac:dyDescent="0.25">
      <c r="A1" s="8" t="s">
        <v>117</v>
      </c>
    </row>
    <row r="3" spans="1:35" x14ac:dyDescent="0.25">
      <c r="A3" s="1" t="s">
        <v>118</v>
      </c>
    </row>
    <row r="4" spans="1:35" x14ac:dyDescent="0.25">
      <c r="A4" s="2" t="s">
        <v>119</v>
      </c>
    </row>
    <row r="6" ht="24" customHeight="1" spans="1:35" s="3" customFormat="1" x14ac:dyDescent="0.25">
      <c r="A6" s="3" t="s">
        <v>2</v>
      </c>
      <c r="B6" s="3" t="s">
        <v>120</v>
      </c>
      <c r="C6" s="3" t="s">
        <v>121</v>
      </c>
      <c r="D6" s="3" t="s">
        <v>122</v>
      </c>
      <c r="E6" s="3" t="s">
        <v>123</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24" customHeight="1" spans="1:35" s="4" customFormat="1" x14ac:dyDescent="0.25">
      <c r="A7" s="6">
        <v>1</v>
      </c>
      <c r="B7" s="9" t="s">
        <v>124</v>
      </c>
      <c r="C7" s="6" t="s">
        <v>125</v>
      </c>
      <c r="D7" s="6" t="s">
        <v>126</v>
      </c>
      <c r="E7" s="7" t="s">
        <v>127</v>
      </c>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2</v>
      </c>
      <c r="B8" s="10" t="s">
        <v>128</v>
      </c>
      <c r="C8" s="4" t="s">
        <v>129</v>
      </c>
      <c r="D8" s="4" t="s">
        <v>130</v>
      </c>
      <c r="E8" s="5" t="s">
        <v>131</v>
      </c>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3</v>
      </c>
      <c r="B9" s="9" t="s">
        <v>132</v>
      </c>
      <c r="C9" s="6" t="s">
        <v>133</v>
      </c>
      <c r="D9" s="6" t="s">
        <v>134</v>
      </c>
      <c r="E9" s="7" t="s">
        <v>135</v>
      </c>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4</v>
      </c>
      <c r="B10" s="10" t="s">
        <v>136</v>
      </c>
      <c r="C10" s="4" t="s">
        <v>137</v>
      </c>
      <c r="D10" s="4" t="s">
        <v>138</v>
      </c>
      <c r="E10" s="5" t="s">
        <v>139</v>
      </c>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5</v>
      </c>
      <c r="B11" s="9" t="s">
        <v>140</v>
      </c>
      <c r="C11" s="6" t="s">
        <v>141</v>
      </c>
      <c r="D11" s="6" t="s">
        <v>142</v>
      </c>
      <c r="E11" s="7" t="s">
        <v>143</v>
      </c>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6</v>
      </c>
      <c r="B12" s="10" t="s">
        <v>144</v>
      </c>
      <c r="C12" s="4" t="s">
        <v>145</v>
      </c>
      <c r="D12" s="4" t="s">
        <v>146</v>
      </c>
      <c r="E12" s="5" t="s">
        <v>147</v>
      </c>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7</v>
      </c>
      <c r="B13" s="9" t="s">
        <v>148</v>
      </c>
      <c r="C13" s="6" t="s">
        <v>149</v>
      </c>
      <c r="D13" s="6" t="s">
        <v>150</v>
      </c>
      <c r="E13" s="7" t="s">
        <v>151</v>
      </c>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8</v>
      </c>
      <c r="B14" s="10" t="s">
        <v>152</v>
      </c>
      <c r="C14" s="4">
        <f>COUNTA('P-Utilities'!A5:A100)</f>
      </c>
      <c r="D14" s="4" t="s">
        <v>153</v>
      </c>
      <c r="E14" s="5" t="s">
        <v>147</v>
      </c>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9</v>
      </c>
      <c r="B15" s="9" t="s">
        <v>154</v>
      </c>
      <c r="C15" s="6">
        <f>COUNTA('C-Widgets'!A5:A100)</f>
      </c>
      <c r="D15" s="6" t="s">
        <v>155</v>
      </c>
      <c r="E15" s="7" t="s">
        <v>156</v>
      </c>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10</v>
      </c>
      <c r="B16" s="10" t="s">
        <v>157</v>
      </c>
      <c r="C16" s="4">
        <f>COUNTA('C-TestCases'!A5:A100)</f>
      </c>
      <c r="D16" s="4" t="s">
        <v>158</v>
      </c>
      <c r="E16" s="5" t="s">
        <v>159</v>
      </c>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11</v>
      </c>
      <c r="B17" s="9" t="s">
        <v>160</v>
      </c>
      <c r="C17" s="6">
        <f>COUNTIF('C-TestCases'!J5:J100,"PASS")</f>
      </c>
      <c r="D17" s="6" t="s">
        <v>161</v>
      </c>
      <c r="E17" s="7" t="s">
        <v>162</v>
      </c>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12</v>
      </c>
      <c r="B18" s="10" t="s">
        <v>163</v>
      </c>
      <c r="C18" s="4">
        <f>COUNTA('C-GrowthOpportunities'!A5:A100)</f>
      </c>
      <c r="D18" s="4" t="s">
        <v>113</v>
      </c>
      <c r="E18" s="5" t="s">
        <v>164</v>
      </c>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13</v>
      </c>
      <c r="B19" s="9" t="s">
        <v>165</v>
      </c>
      <c r="C19" s="6">
        <f>COUNTIF('C-GrowthOpportunities'!M5:M100,"APPROVED")</f>
      </c>
      <c r="D19" s="6" t="s">
        <v>113</v>
      </c>
      <c r="E19" s="7" t="s">
        <v>166</v>
      </c>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14</v>
      </c>
      <c r="B20" s="10" t="s">
        <v>167</v>
      </c>
      <c r="C20" s="4">
        <f>COUNTIFS('P-Work'!F5:F100,"P0",'P-Work'!G5:G100,"OPEN")</f>
      </c>
      <c r="D20" s="4" t="s">
        <v>168</v>
      </c>
      <c r="E20" s="5" t="s">
        <v>169</v>
      </c>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15</v>
      </c>
      <c r="B21" s="9" t="s">
        <v>170</v>
      </c>
      <c r="C21" s="6">
        <f>COUNTIFS('P-Work'!F5:F100,"P1",'P-Work'!G5:G100,"OPEN")</f>
      </c>
      <c r="D21" s="6" t="s">
        <v>168</v>
      </c>
      <c r="E21" s="7" t="s">
        <v>169</v>
      </c>
      <c r="F21" s="4"/>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16</v>
      </c>
      <c r="B22" s="10" t="s">
        <v>171</v>
      </c>
      <c r="C22" s="4" t="s">
        <v>172</v>
      </c>
      <c r="D22" s="4" t="s">
        <v>173</v>
      </c>
      <c r="E22" s="5" t="s">
        <v>174</v>
      </c>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17</v>
      </c>
      <c r="B23" s="9" t="s">
        <v>175</v>
      </c>
      <c r="C23" s="6">
        <f>COUNTA('C-Candidates'!A5:A100)</f>
      </c>
      <c r="D23" s="6" t="s">
        <v>176</v>
      </c>
      <c r="E23" s="7" t="s">
        <v>177</v>
      </c>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18</v>
      </c>
      <c r="B24" s="10" t="s">
        <v>178</v>
      </c>
      <c r="C24" s="4">
        <f>COUNTA('C-Competitors'!A5:A100)</f>
      </c>
      <c r="D24" s="4" t="s">
        <v>179</v>
      </c>
      <c r="E24" s="5" t="s">
        <v>180</v>
      </c>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19</v>
      </c>
      <c r="B25" s="9" t="s">
        <v>181</v>
      </c>
      <c r="C25" s="6">
        <f>COUNTA('C-SearchIntel'!A5:A100)</f>
      </c>
      <c r="D25" s="6" t="s">
        <v>182</v>
      </c>
      <c r="E25" s="7" t="s">
        <v>183</v>
      </c>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20</v>
      </c>
      <c r="B26" s="10" t="s">
        <v>184</v>
      </c>
      <c r="C26" s="4" t="s">
        <v>185</v>
      </c>
      <c r="D26" s="4" t="s">
        <v>186</v>
      </c>
      <c r="E26" s="5" t="s">
        <v>187</v>
      </c>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21</v>
      </c>
      <c r="B27" s="9" t="s">
        <v>188</v>
      </c>
      <c r="C27" s="6" t="s">
        <v>189</v>
      </c>
      <c r="D27" s="6" t="s">
        <v>190</v>
      </c>
      <c r="E27" s="7" t="s">
        <v>191</v>
      </c>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22</v>
      </c>
      <c r="B28" s="10" t="s">
        <v>192</v>
      </c>
      <c r="C28" s="4" t="s">
        <v>193</v>
      </c>
      <c r="D28" s="4" t="s">
        <v>194</v>
      </c>
      <c r="E28" s="5" t="s">
        <v>195</v>
      </c>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23</v>
      </c>
      <c r="B29" s="9" t="s">
        <v>196</v>
      </c>
      <c r="C29" s="6" t="s">
        <v>197</v>
      </c>
      <c r="D29" s="6" t="s">
        <v>198</v>
      </c>
      <c r="E29" s="7" t="s">
        <v>199</v>
      </c>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24</v>
      </c>
      <c r="B30" s="10" t="s">
        <v>200</v>
      </c>
      <c r="C30" s="4" t="s">
        <v>201</v>
      </c>
      <c r="D30" s="4" t="s">
        <v>198</v>
      </c>
      <c r="E30" s="5" t="s">
        <v>202</v>
      </c>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25</v>
      </c>
      <c r="B31" s="9" t="s">
        <v>203</v>
      </c>
      <c r="C31" s="6" t="s">
        <v>204</v>
      </c>
      <c r="D31" s="6" t="s">
        <v>205</v>
      </c>
      <c r="E31" s="7" t="s">
        <v>206</v>
      </c>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26</v>
      </c>
      <c r="B32" s="10" t="s">
        <v>207</v>
      </c>
      <c r="C32" s="4" t="s">
        <v>208</v>
      </c>
      <c r="D32" s="4" t="s">
        <v>209</v>
      </c>
      <c r="E32" s="5" t="s">
        <v>210</v>
      </c>
      <c r="F32" s="4"/>
      <c r="G32" s="4"/>
      <c r="H32" s="4"/>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27</v>
      </c>
      <c r="B33" s="9" t="s">
        <v>211</v>
      </c>
      <c r="C33" s="6" t="s">
        <v>212</v>
      </c>
      <c r="D33" s="6" t="s">
        <v>213</v>
      </c>
      <c r="E33" s="7" t="s">
        <v>214</v>
      </c>
      <c r="F33" s="4"/>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row>
  </sheetData>
  <hyperlinks>
    <hyperlink ref="A1" r:id="rId1" location="#'P-00 INDEX'!A1"/>
    <hyperlink ref="E7" r:id="rId2"/>
    <hyperlink ref="E8" r:id="rId3" location="#'C-Changes'!A1"/>
    <hyperlink ref="E9" r:id="rId4" location="#'C-GrowthOpportunities'!A1"/>
    <hyperlink ref="E10" r:id="rId5"/>
    <hyperlink ref="E11" r:id="rId6"/>
    <hyperlink ref="E12" r:id="rId7" location="#'P-Utilities'!A1"/>
    <hyperlink ref="E13" r:id="rId8" location="#'P-00 INDEX'!A1"/>
    <hyperlink ref="E14" r:id="rId9" location="#'P-Utilities'!A1"/>
    <hyperlink ref="E15" r:id="rId10" location="#'C-Widgets'!A1"/>
    <hyperlink ref="E16" r:id="rId11" location="#'C-TestCases'!A1"/>
    <hyperlink ref="E17" r:id="rId12" location="#'C-TestCases'!A1"/>
    <hyperlink ref="E18" r:id="rId13" location="#'C-GrowthOpportunities'!A1"/>
    <hyperlink ref="E19" r:id="rId14" location="#'C-GrowthOpportunities'!A1"/>
    <hyperlink ref="E20" r:id="rId15" location="#'P-Work'!A1"/>
    <hyperlink ref="E21" r:id="rId16" location="#'P-Work'!A1"/>
    <hyperlink ref="E22" r:id="rId17" location="#'C-Reviews'!A1"/>
    <hyperlink ref="E23" r:id="rId18" location="#'C-Candidates'!A1"/>
    <hyperlink ref="E24" r:id="rId19" location="#'C-Competitors'!A1"/>
    <hyperlink ref="E25" r:id="rId20" location="#'C-SearchIntel'!A1"/>
    <hyperlink ref="E26" r:id="rId21" location="#'P-Sessions'!A1"/>
    <hyperlink ref="E27" r:id="rId22"/>
    <hyperlink ref="E28" r:id="rId23"/>
    <hyperlink ref="E29" r:id="rId24"/>
    <hyperlink ref="E30" r:id="rId25"/>
    <hyperlink ref="E31" r:id="rId26" location="#'P-00 INDEX'!A1"/>
    <hyperlink ref="E32" r:id="rId27" location="#'P-00 INDEX'!A1"/>
    <hyperlink ref="E33" r:id="rId28" location="#'P-Releases'!A1"/>
  </hyperlink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7"/>
  <sheetViews>
    <sheetView workbookViewId="0"/>
  </sheetViews>
  <sheetFormatPr defaultRowHeight="15" outlineLevelRow="0" outlineLevelCol="0" x14ac:dyDescent="55"/>
  <cols>
    <col min="1" max="1" width="63" customWidth="1"/>
    <col min="2" max="2" width="21" customWidth="1"/>
    <col min="3" max="3" width="30" customWidth="1"/>
    <col min="4" max="4" width="63" customWidth="1"/>
    <col min="5" max="35" width="15" customWidth="1"/>
  </cols>
  <sheetData>
    <row r="1" ht="24" customHeight="1" spans="1:35" x14ac:dyDescent="0.25">
      <c r="A1" s="8" t="s">
        <v>117</v>
      </c>
    </row>
    <row r="3" spans="1:35" x14ac:dyDescent="0.25">
      <c r="A3" s="1" t="s">
        <v>215</v>
      </c>
    </row>
    <row r="4" spans="1:35" x14ac:dyDescent="0.25">
      <c r="A4" s="2" t="s">
        <v>216</v>
      </c>
    </row>
    <row r="6" ht="30" customHeight="1" spans="1:35" s="3" customFormat="1" x14ac:dyDescent="0.25">
      <c r="A6" s="3" t="s">
        <v>2</v>
      </c>
      <c r="B6" s="3" t="s">
        <v>217</v>
      </c>
      <c r="C6" s="3" t="s">
        <v>218</v>
      </c>
      <c r="D6" s="3" t="s">
        <v>219</v>
      </c>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30" customHeight="1" spans="1:35" s="4" customFormat="1" x14ac:dyDescent="0.25">
      <c r="A7" s="6">
        <v>1</v>
      </c>
      <c r="B7" s="9" t="s">
        <v>220</v>
      </c>
      <c r="C7" s="6" t="s">
        <v>221</v>
      </c>
      <c r="D7" s="6" t="s">
        <v>222</v>
      </c>
      <c r="E7" s="4"/>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30" customHeight="1" spans="1:35" s="4" customFormat="1" x14ac:dyDescent="0.25">
      <c r="A8" s="4">
        <v>2</v>
      </c>
      <c r="B8" s="10" t="s">
        <v>223</v>
      </c>
      <c r="C8" s="4" t="s">
        <v>224</v>
      </c>
      <c r="D8" s="4" t="s">
        <v>225</v>
      </c>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30" customHeight="1" spans="1:35" s="4" customFormat="1" x14ac:dyDescent="0.25">
      <c r="A9" s="6">
        <v>3</v>
      </c>
      <c r="B9" s="9" t="s">
        <v>226</v>
      </c>
      <c r="C9" s="6" t="s">
        <v>227</v>
      </c>
      <c r="D9" s="6" t="s">
        <v>228</v>
      </c>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30" customHeight="1" spans="1:35" s="4" customFormat="1" x14ac:dyDescent="0.25">
      <c r="A10" s="4">
        <v>4</v>
      </c>
      <c r="B10" s="10" t="s">
        <v>229</v>
      </c>
      <c r="C10" s="4" t="s">
        <v>230</v>
      </c>
      <c r="D10" s="4" t="s">
        <v>231</v>
      </c>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30" customHeight="1" spans="1:35" s="4" customFormat="1" x14ac:dyDescent="0.25">
      <c r="A11" s="6">
        <v>5</v>
      </c>
      <c r="B11" s="9" t="s">
        <v>232</v>
      </c>
      <c r="C11" s="6" t="s">
        <v>233</v>
      </c>
      <c r="D11" s="6" t="s">
        <v>234</v>
      </c>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30" customHeight="1" spans="1:35" s="4" customFormat="1" x14ac:dyDescent="0.25">
      <c r="A12" s="4">
        <v>6</v>
      </c>
      <c r="B12" s="10" t="s">
        <v>235</v>
      </c>
      <c r="C12" s="4" t="s">
        <v>236</v>
      </c>
      <c r="D12" s="4" t="s">
        <v>237</v>
      </c>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30" customHeight="1" spans="1:35" s="4" customFormat="1" x14ac:dyDescent="0.25">
      <c r="A13" s="6">
        <v>7</v>
      </c>
      <c r="B13" s="9" t="s">
        <v>238</v>
      </c>
      <c r="C13" s="6" t="s">
        <v>239</v>
      </c>
      <c r="D13" s="6" t="s">
        <v>240</v>
      </c>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30" customHeight="1" spans="1:35" s="4" customFormat="1" x14ac:dyDescent="0.25">
      <c r="A14" s="4">
        <v>8</v>
      </c>
      <c r="B14" s="10" t="s">
        <v>241</v>
      </c>
      <c r="C14" s="4" t="s">
        <v>242</v>
      </c>
      <c r="D14" s="4" t="s">
        <v>243</v>
      </c>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30" customHeight="1" spans="1:35" s="4" customFormat="1" x14ac:dyDescent="0.25">
      <c r="A15" s="6">
        <v>9</v>
      </c>
      <c r="B15" s="9" t="s">
        <v>244</v>
      </c>
      <c r="C15" s="6" t="s">
        <v>245</v>
      </c>
      <c r="D15" s="6" t="s">
        <v>246</v>
      </c>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30" customHeight="1" spans="1:35" s="4" customFormat="1" x14ac:dyDescent="0.25">
      <c r="A16" s="4">
        <v>10</v>
      </c>
      <c r="B16" s="10" t="s">
        <v>247</v>
      </c>
      <c r="C16" s="4" t="s">
        <v>248</v>
      </c>
      <c r="D16" s="4" t="s">
        <v>249</v>
      </c>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30" customHeight="1" spans="1:35" s="4" customFormat="1" x14ac:dyDescent="0.25">
      <c r="A17" s="6">
        <v>11</v>
      </c>
      <c r="B17" s="9" t="s">
        <v>250</v>
      </c>
      <c r="C17" s="6" t="s">
        <v>251</v>
      </c>
      <c r="D17" s="6" t="s">
        <v>252</v>
      </c>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1"/>
  <sheetViews>
    <sheetView workbookViewId="0"/>
  </sheetViews>
  <sheetFormatPr defaultRowHeight="15" outlineLevelRow="0" outlineLevelCol="0" x14ac:dyDescent="55"/>
  <cols>
    <col min="1" max="1" width="59" customWidth="1"/>
    <col min="2" max="2" width="31" customWidth="1"/>
    <col min="3" max="3" width="57" customWidth="1"/>
    <col min="4" max="4" width="15" customWidth="1"/>
    <col min="5" max="5" width="55" customWidth="1"/>
    <col min="6" max="6" width="59" customWidth="1"/>
    <col min="7" max="8" width="15" customWidth="1"/>
    <col min="9" max="9" width="63" customWidth="1"/>
    <col min="10" max="11" width="15" customWidth="1"/>
    <col min="12" max="12" width="18" customWidth="1"/>
    <col min="13" max="15" width="15" customWidth="1"/>
    <col min="16" max="16" width="16" customWidth="1"/>
    <col min="17" max="18" width="15" customWidth="1"/>
    <col min="19" max="19" width="16" customWidth="1"/>
    <col min="20" max="20" width="63" customWidth="1"/>
    <col min="21" max="21" width="22" customWidth="1"/>
    <col min="22" max="35" width="15" customWidth="1"/>
  </cols>
  <sheetData>
    <row r="1" ht="24" customHeight="1" spans="1:35" x14ac:dyDescent="0.25">
      <c r="A1" s="8" t="s">
        <v>117</v>
      </c>
    </row>
    <row r="2" spans="1:35" x14ac:dyDescent="0.25">
      <c r="A2" s="1" t="s">
        <v>253</v>
      </c>
    </row>
    <row r="4" ht="26" customHeight="1" spans="1:35" s="3" customFormat="1" x14ac:dyDescent="0.25">
      <c r="A4" s="3" t="s">
        <v>2</v>
      </c>
      <c r="B4" s="3" t="s">
        <v>254</v>
      </c>
      <c r="C4" s="3" t="s">
        <v>255</v>
      </c>
      <c r="D4" s="3" t="s">
        <v>256</v>
      </c>
      <c r="E4" s="3" t="s">
        <v>257</v>
      </c>
      <c r="F4" s="3" t="s">
        <v>258</v>
      </c>
      <c r="G4" s="3" t="s">
        <v>259</v>
      </c>
      <c r="H4" s="3" t="s">
        <v>260</v>
      </c>
      <c r="I4" s="3" t="s">
        <v>261</v>
      </c>
      <c r="J4" s="3" t="s">
        <v>262</v>
      </c>
      <c r="K4" s="3" t="s">
        <v>263</v>
      </c>
      <c r="L4" s="3" t="s">
        <v>264</v>
      </c>
      <c r="M4" s="3" t="s">
        <v>265</v>
      </c>
      <c r="N4" s="3" t="s">
        <v>266</v>
      </c>
      <c r="O4" s="3" t="s">
        <v>267</v>
      </c>
      <c r="P4" s="3" t="s">
        <v>268</v>
      </c>
      <c r="Q4" s="3" t="s">
        <v>269</v>
      </c>
      <c r="R4" s="3" t="s">
        <v>270</v>
      </c>
      <c r="S4" s="3" t="s">
        <v>271</v>
      </c>
      <c r="T4" s="3" t="s">
        <v>272</v>
      </c>
      <c r="U4" s="3" t="s">
        <v>273</v>
      </c>
      <c r="V4" s="3"/>
      <c r="W4" s="3"/>
      <c r="X4" s="3"/>
      <c r="Y4" s="3"/>
      <c r="Z4" s="3"/>
      <c r="AA4" s="3"/>
      <c r="AB4" s="3"/>
      <c r="AC4" s="3"/>
      <c r="AD4" s="3"/>
      <c r="AE4" s="3"/>
      <c r="AF4" s="3"/>
      <c r="AG4" s="3"/>
      <c r="AH4" s="3"/>
      <c r="AI4" s="3"/>
    </row>
    <row r="5" ht="24" customHeight="1" spans="1:35" s="4" customFormat="1" x14ac:dyDescent="0.25">
      <c r="A5" s="4">
        <v>1</v>
      </c>
      <c r="B5" s="4" t="s">
        <v>274</v>
      </c>
      <c r="C5" s="4" t="s">
        <v>275</v>
      </c>
      <c r="D5" s="4" t="s">
        <v>276</v>
      </c>
      <c r="E5" s="5" t="s">
        <v>277</v>
      </c>
      <c r="F5" s="5" t="s">
        <v>278</v>
      </c>
      <c r="G5" s="4" t="s">
        <v>279</v>
      </c>
      <c r="H5" s="4" t="s">
        <v>280</v>
      </c>
      <c r="I5" s="4" t="s">
        <v>281</v>
      </c>
      <c r="J5" s="4" t="s">
        <v>282</v>
      </c>
      <c r="K5" s="4" t="s">
        <v>282</v>
      </c>
      <c r="L5" s="4" t="s">
        <v>282</v>
      </c>
      <c r="M5" s="4" t="s">
        <v>282</v>
      </c>
      <c r="N5" s="4" t="s">
        <v>283</v>
      </c>
      <c r="O5" s="4" t="s">
        <v>284</v>
      </c>
      <c r="P5" s="4" t="s">
        <v>285</v>
      </c>
      <c r="Q5" s="4">
        <v>0</v>
      </c>
      <c r="R5" s="4">
        <v>0</v>
      </c>
      <c r="S5" s="4" t="s">
        <v>286</v>
      </c>
      <c r="T5" s="4" t="s">
        <v>287</v>
      </c>
      <c r="U5" s="5" t="s">
        <v>288</v>
      </c>
      <c r="V5" s="4"/>
      <c r="W5" s="4"/>
      <c r="X5" s="4"/>
      <c r="Y5" s="4"/>
      <c r="Z5" s="4"/>
      <c r="AA5" s="4"/>
      <c r="AB5" s="4"/>
      <c r="AC5" s="4"/>
      <c r="AD5" s="4"/>
      <c r="AE5" s="4"/>
      <c r="AF5" s="4"/>
      <c r="AG5" s="4"/>
      <c r="AH5" s="4"/>
      <c r="AI5" s="4"/>
    </row>
    <row r="6" ht="24" customHeight="1" spans="1:35" s="4" customFormat="1" x14ac:dyDescent="0.25">
      <c r="A6" s="6">
        <v>2</v>
      </c>
      <c r="B6" s="6" t="s">
        <v>289</v>
      </c>
      <c r="C6" s="6" t="s">
        <v>290</v>
      </c>
      <c r="D6" s="6" t="s">
        <v>276</v>
      </c>
      <c r="E6" s="7" t="s">
        <v>291</v>
      </c>
      <c r="F6" s="7" t="s">
        <v>292</v>
      </c>
      <c r="G6" s="6" t="s">
        <v>279</v>
      </c>
      <c r="H6" s="6" t="s">
        <v>280</v>
      </c>
      <c r="I6" s="6" t="s">
        <v>293</v>
      </c>
      <c r="J6" s="6" t="s">
        <v>282</v>
      </c>
      <c r="K6" s="6" t="s">
        <v>282</v>
      </c>
      <c r="L6" s="6" t="s">
        <v>282</v>
      </c>
      <c r="M6" s="6" t="s">
        <v>282</v>
      </c>
      <c r="N6" s="6" t="s">
        <v>283</v>
      </c>
      <c r="O6" s="6" t="s">
        <v>284</v>
      </c>
      <c r="P6" s="6" t="s">
        <v>285</v>
      </c>
      <c r="Q6" s="6">
        <v>0</v>
      </c>
      <c r="R6" s="6">
        <v>0</v>
      </c>
      <c r="S6" s="6" t="s">
        <v>286</v>
      </c>
      <c r="T6" s="6" t="s">
        <v>287</v>
      </c>
      <c r="U6" s="7" t="s">
        <v>288</v>
      </c>
      <c r="V6" s="4"/>
      <c r="W6" s="4"/>
      <c r="X6" s="4"/>
      <c r="Y6" s="4"/>
      <c r="Z6" s="4"/>
      <c r="AA6" s="4"/>
      <c r="AB6" s="4"/>
      <c r="AC6" s="4"/>
      <c r="AD6" s="4"/>
      <c r="AE6" s="4"/>
      <c r="AF6" s="4"/>
      <c r="AG6" s="4"/>
      <c r="AH6" s="4"/>
      <c r="AI6" s="4"/>
    </row>
    <row r="7" ht="24" customHeight="1" spans="1:35" s="4" customFormat="1" x14ac:dyDescent="0.25">
      <c r="A7" s="4">
        <v>3</v>
      </c>
      <c r="B7" s="4" t="s">
        <v>294</v>
      </c>
      <c r="C7" s="4" t="s">
        <v>295</v>
      </c>
      <c r="D7" s="4" t="s">
        <v>276</v>
      </c>
      <c r="E7" s="5" t="s">
        <v>296</v>
      </c>
      <c r="F7" s="5" t="s">
        <v>297</v>
      </c>
      <c r="G7" s="4" t="s">
        <v>279</v>
      </c>
      <c r="H7" s="4" t="s">
        <v>280</v>
      </c>
      <c r="I7" s="4" t="s">
        <v>298</v>
      </c>
      <c r="J7" s="4" t="s">
        <v>282</v>
      </c>
      <c r="K7" s="4" t="s">
        <v>282</v>
      </c>
      <c r="L7" s="4" t="s">
        <v>282</v>
      </c>
      <c r="M7" s="4" t="s">
        <v>282</v>
      </c>
      <c r="N7" s="4" t="s">
        <v>283</v>
      </c>
      <c r="O7" s="4" t="s">
        <v>284</v>
      </c>
      <c r="P7" s="4" t="s">
        <v>285</v>
      </c>
      <c r="Q7" s="4">
        <v>0</v>
      </c>
      <c r="R7" s="4">
        <v>0</v>
      </c>
      <c r="S7" s="4" t="s">
        <v>286</v>
      </c>
      <c r="T7" s="4" t="s">
        <v>287</v>
      </c>
      <c r="U7" s="5" t="s">
        <v>288</v>
      </c>
      <c r="V7" s="4"/>
      <c r="W7" s="4"/>
      <c r="X7" s="4"/>
      <c r="Y7" s="4"/>
      <c r="Z7" s="4"/>
      <c r="AA7" s="4"/>
      <c r="AB7" s="4"/>
      <c r="AC7" s="4"/>
      <c r="AD7" s="4"/>
      <c r="AE7" s="4"/>
      <c r="AF7" s="4"/>
      <c r="AG7" s="4"/>
      <c r="AH7" s="4"/>
      <c r="AI7" s="4"/>
    </row>
    <row r="8" ht="24" customHeight="1" spans="1:35" s="4" customFormat="1" x14ac:dyDescent="0.25">
      <c r="A8" s="6">
        <v>4</v>
      </c>
      <c r="B8" s="6" t="s">
        <v>299</v>
      </c>
      <c r="C8" s="6" t="s">
        <v>300</v>
      </c>
      <c r="D8" s="6" t="s">
        <v>276</v>
      </c>
      <c r="E8" s="7" t="s">
        <v>301</v>
      </c>
      <c r="F8" s="7" t="s">
        <v>302</v>
      </c>
      <c r="G8" s="6" t="s">
        <v>279</v>
      </c>
      <c r="H8" s="6" t="s">
        <v>280</v>
      </c>
      <c r="I8" s="6" t="s">
        <v>303</v>
      </c>
      <c r="J8" s="6" t="s">
        <v>282</v>
      </c>
      <c r="K8" s="6" t="s">
        <v>282</v>
      </c>
      <c r="L8" s="6" t="s">
        <v>282</v>
      </c>
      <c r="M8" s="6" t="s">
        <v>282</v>
      </c>
      <c r="N8" s="6" t="s">
        <v>283</v>
      </c>
      <c r="O8" s="6" t="s">
        <v>284</v>
      </c>
      <c r="P8" s="6" t="s">
        <v>285</v>
      </c>
      <c r="Q8" s="6">
        <v>0</v>
      </c>
      <c r="R8" s="6">
        <v>0</v>
      </c>
      <c r="S8" s="6" t="s">
        <v>286</v>
      </c>
      <c r="T8" s="6" t="s">
        <v>287</v>
      </c>
      <c r="U8" s="7" t="s">
        <v>288</v>
      </c>
      <c r="V8" s="4"/>
      <c r="W8" s="4"/>
      <c r="X8" s="4"/>
      <c r="Y8" s="4"/>
      <c r="Z8" s="4"/>
      <c r="AA8" s="4"/>
      <c r="AB8" s="4"/>
      <c r="AC8" s="4"/>
      <c r="AD8" s="4"/>
      <c r="AE8" s="4"/>
      <c r="AF8" s="4"/>
      <c r="AG8" s="4"/>
      <c r="AH8" s="4"/>
      <c r="AI8" s="4"/>
    </row>
    <row r="9" ht="24" customHeight="1" spans="1:35" s="4" customFormat="1" x14ac:dyDescent="0.25">
      <c r="A9" s="4">
        <v>5</v>
      </c>
      <c r="B9" s="4" t="s">
        <v>304</v>
      </c>
      <c r="C9" s="4" t="s">
        <v>305</v>
      </c>
      <c r="D9" s="4" t="s">
        <v>276</v>
      </c>
      <c r="E9" s="5" t="s">
        <v>306</v>
      </c>
      <c r="F9" s="5" t="s">
        <v>307</v>
      </c>
      <c r="G9" s="4" t="s">
        <v>279</v>
      </c>
      <c r="H9" s="4" t="s">
        <v>280</v>
      </c>
      <c r="I9" s="4" t="s">
        <v>308</v>
      </c>
      <c r="J9" s="4" t="s">
        <v>282</v>
      </c>
      <c r="K9" s="4" t="s">
        <v>282</v>
      </c>
      <c r="L9" s="4" t="s">
        <v>282</v>
      </c>
      <c r="M9" s="4" t="s">
        <v>282</v>
      </c>
      <c r="N9" s="4" t="s">
        <v>283</v>
      </c>
      <c r="O9" s="4" t="s">
        <v>284</v>
      </c>
      <c r="P9" s="4" t="s">
        <v>285</v>
      </c>
      <c r="Q9" s="4">
        <v>0</v>
      </c>
      <c r="R9" s="4">
        <v>0</v>
      </c>
      <c r="S9" s="4" t="s">
        <v>286</v>
      </c>
      <c r="T9" s="4" t="s">
        <v>287</v>
      </c>
      <c r="U9" s="5" t="s">
        <v>288</v>
      </c>
      <c r="V9" s="4"/>
      <c r="W9" s="4"/>
      <c r="X9" s="4"/>
      <c r="Y9" s="4"/>
      <c r="Z9" s="4"/>
      <c r="AA9" s="4"/>
      <c r="AB9" s="4"/>
      <c r="AC9" s="4"/>
      <c r="AD9" s="4"/>
      <c r="AE9" s="4"/>
      <c r="AF9" s="4"/>
      <c r="AG9" s="4"/>
      <c r="AH9" s="4"/>
      <c r="AI9" s="4"/>
    </row>
    <row r="10" ht="24" customHeight="1" spans="1:35" s="4" customFormat="1" x14ac:dyDescent="0.25">
      <c r="A10" s="6">
        <v>6</v>
      </c>
      <c r="B10" s="6" t="s">
        <v>309</v>
      </c>
      <c r="C10" s="6" t="s">
        <v>310</v>
      </c>
      <c r="D10" s="6" t="s">
        <v>276</v>
      </c>
      <c r="E10" s="7" t="s">
        <v>311</v>
      </c>
      <c r="F10" s="7" t="s">
        <v>312</v>
      </c>
      <c r="G10" s="6" t="s">
        <v>279</v>
      </c>
      <c r="H10" s="6" t="s">
        <v>280</v>
      </c>
      <c r="I10" s="6" t="s">
        <v>313</v>
      </c>
      <c r="J10" s="6" t="s">
        <v>282</v>
      </c>
      <c r="K10" s="6" t="s">
        <v>282</v>
      </c>
      <c r="L10" s="6" t="s">
        <v>282</v>
      </c>
      <c r="M10" s="6" t="s">
        <v>282</v>
      </c>
      <c r="N10" s="6" t="s">
        <v>283</v>
      </c>
      <c r="O10" s="6" t="s">
        <v>284</v>
      </c>
      <c r="P10" s="6" t="s">
        <v>285</v>
      </c>
      <c r="Q10" s="6">
        <v>0</v>
      </c>
      <c r="R10" s="6">
        <v>0</v>
      </c>
      <c r="S10" s="6" t="s">
        <v>286</v>
      </c>
      <c r="T10" s="6" t="s">
        <v>287</v>
      </c>
      <c r="U10" s="7" t="s">
        <v>288</v>
      </c>
      <c r="V10" s="4"/>
      <c r="W10" s="4"/>
      <c r="X10" s="4"/>
      <c r="Y10" s="4"/>
      <c r="Z10" s="4"/>
      <c r="AA10" s="4"/>
      <c r="AB10" s="4"/>
      <c r="AC10" s="4"/>
      <c r="AD10" s="4"/>
      <c r="AE10" s="4"/>
      <c r="AF10" s="4"/>
      <c r="AG10" s="4"/>
      <c r="AH10" s="4"/>
      <c r="AI10" s="4"/>
    </row>
    <row r="11" ht="24" customHeight="1" spans="1:35" s="4" customFormat="1" x14ac:dyDescent="0.25">
      <c r="A11" s="4">
        <v>7</v>
      </c>
      <c r="B11" s="4" t="s">
        <v>314</v>
      </c>
      <c r="C11" s="4" t="s">
        <v>315</v>
      </c>
      <c r="D11" s="4" t="s">
        <v>276</v>
      </c>
      <c r="E11" s="5" t="s">
        <v>316</v>
      </c>
      <c r="F11" s="5" t="s">
        <v>317</v>
      </c>
      <c r="G11" s="4" t="s">
        <v>279</v>
      </c>
      <c r="H11" s="4" t="s">
        <v>280</v>
      </c>
      <c r="I11" s="4" t="s">
        <v>318</v>
      </c>
      <c r="J11" s="4" t="s">
        <v>282</v>
      </c>
      <c r="K11" s="4" t="s">
        <v>282</v>
      </c>
      <c r="L11" s="4" t="s">
        <v>282</v>
      </c>
      <c r="M11" s="4" t="s">
        <v>282</v>
      </c>
      <c r="N11" s="4" t="s">
        <v>283</v>
      </c>
      <c r="O11" s="4" t="s">
        <v>284</v>
      </c>
      <c r="P11" s="4" t="s">
        <v>285</v>
      </c>
      <c r="Q11" s="4">
        <v>0</v>
      </c>
      <c r="R11" s="4">
        <v>0</v>
      </c>
      <c r="S11" s="4" t="s">
        <v>286</v>
      </c>
      <c r="T11" s="4" t="s">
        <v>287</v>
      </c>
      <c r="U11" s="5" t="s">
        <v>288</v>
      </c>
      <c r="V11" s="4"/>
      <c r="W11" s="4"/>
      <c r="X11" s="4"/>
      <c r="Y11" s="4"/>
      <c r="Z11" s="4"/>
      <c r="AA11" s="4"/>
      <c r="AB11" s="4"/>
      <c r="AC11" s="4"/>
      <c r="AD11" s="4"/>
      <c r="AE11" s="4"/>
      <c r="AF11" s="4"/>
      <c r="AG11" s="4"/>
      <c r="AH11" s="4"/>
      <c r="AI11" s="4"/>
    </row>
    <row r="12" ht="24" customHeight="1" spans="1:35" s="4" customFormat="1" x14ac:dyDescent="0.25">
      <c r="A12" s="6">
        <v>8</v>
      </c>
      <c r="B12" s="6" t="s">
        <v>319</v>
      </c>
      <c r="C12" s="6" t="s">
        <v>320</v>
      </c>
      <c r="D12" s="6" t="s">
        <v>321</v>
      </c>
      <c r="E12" s="7" t="s">
        <v>322</v>
      </c>
      <c r="F12" s="7" t="s">
        <v>323</v>
      </c>
      <c r="G12" s="6" t="s">
        <v>279</v>
      </c>
      <c r="H12" s="6" t="s">
        <v>280</v>
      </c>
      <c r="I12" s="6" t="s">
        <v>324</v>
      </c>
      <c r="J12" s="6" t="s">
        <v>282</v>
      </c>
      <c r="K12" s="6" t="s">
        <v>282</v>
      </c>
      <c r="L12" s="6" t="s">
        <v>282</v>
      </c>
      <c r="M12" s="6" t="s">
        <v>282</v>
      </c>
      <c r="N12" s="6" t="s">
        <v>283</v>
      </c>
      <c r="O12" s="6" t="s">
        <v>284</v>
      </c>
      <c r="P12" s="6" t="s">
        <v>285</v>
      </c>
      <c r="Q12" s="6">
        <v>0</v>
      </c>
      <c r="R12" s="6">
        <v>0</v>
      </c>
      <c r="S12" s="6" t="s">
        <v>286</v>
      </c>
      <c r="T12" s="6" t="s">
        <v>287</v>
      </c>
      <c r="U12" s="7" t="s">
        <v>288</v>
      </c>
      <c r="V12" s="4"/>
      <c r="W12" s="4"/>
      <c r="X12" s="4"/>
      <c r="Y12" s="4"/>
      <c r="Z12" s="4"/>
      <c r="AA12" s="4"/>
      <c r="AB12" s="4"/>
      <c r="AC12" s="4"/>
      <c r="AD12" s="4"/>
      <c r="AE12" s="4"/>
      <c r="AF12" s="4"/>
      <c r="AG12" s="4"/>
      <c r="AH12" s="4"/>
      <c r="AI12" s="4"/>
    </row>
    <row r="13" ht="24" customHeight="1" spans="1:35" s="4" customFormat="1" x14ac:dyDescent="0.25">
      <c r="A13" s="4">
        <v>9</v>
      </c>
      <c r="B13" s="4" t="s">
        <v>325</v>
      </c>
      <c r="C13" s="4" t="s">
        <v>326</v>
      </c>
      <c r="D13" s="4" t="s">
        <v>321</v>
      </c>
      <c r="E13" s="5" t="s">
        <v>327</v>
      </c>
      <c r="F13" s="5" t="s">
        <v>328</v>
      </c>
      <c r="G13" s="4" t="s">
        <v>279</v>
      </c>
      <c r="H13" s="4" t="s">
        <v>280</v>
      </c>
      <c r="I13" s="4" t="s">
        <v>329</v>
      </c>
      <c r="J13" s="4" t="s">
        <v>282</v>
      </c>
      <c r="K13" s="4" t="s">
        <v>282</v>
      </c>
      <c r="L13" s="4" t="s">
        <v>282</v>
      </c>
      <c r="M13" s="4" t="s">
        <v>282</v>
      </c>
      <c r="N13" s="4" t="s">
        <v>283</v>
      </c>
      <c r="O13" s="4" t="s">
        <v>284</v>
      </c>
      <c r="P13" s="4" t="s">
        <v>285</v>
      </c>
      <c r="Q13" s="4">
        <v>0</v>
      </c>
      <c r="R13" s="4">
        <v>0</v>
      </c>
      <c r="S13" s="4" t="s">
        <v>286</v>
      </c>
      <c r="T13" s="4" t="s">
        <v>287</v>
      </c>
      <c r="U13" s="5" t="s">
        <v>288</v>
      </c>
      <c r="V13" s="4"/>
      <c r="W13" s="4"/>
      <c r="X13" s="4"/>
      <c r="Y13" s="4"/>
      <c r="Z13" s="4"/>
      <c r="AA13" s="4"/>
      <c r="AB13" s="4"/>
      <c r="AC13" s="4"/>
      <c r="AD13" s="4"/>
      <c r="AE13" s="4"/>
      <c r="AF13" s="4"/>
      <c r="AG13" s="4"/>
      <c r="AH13" s="4"/>
      <c r="AI13" s="4"/>
    </row>
    <row r="14" ht="24" customHeight="1" spans="1:35" s="4" customFormat="1" x14ac:dyDescent="0.25">
      <c r="A14" s="6">
        <v>10</v>
      </c>
      <c r="B14" s="6" t="s">
        <v>330</v>
      </c>
      <c r="C14" s="6" t="s">
        <v>331</v>
      </c>
      <c r="D14" s="6" t="s">
        <v>321</v>
      </c>
      <c r="E14" s="7" t="s">
        <v>332</v>
      </c>
      <c r="F14" s="7" t="s">
        <v>333</v>
      </c>
      <c r="G14" s="6" t="s">
        <v>279</v>
      </c>
      <c r="H14" s="6" t="s">
        <v>280</v>
      </c>
      <c r="I14" s="6" t="s">
        <v>334</v>
      </c>
      <c r="J14" s="6" t="s">
        <v>282</v>
      </c>
      <c r="K14" s="6" t="s">
        <v>282</v>
      </c>
      <c r="L14" s="6" t="s">
        <v>282</v>
      </c>
      <c r="M14" s="6" t="s">
        <v>282</v>
      </c>
      <c r="N14" s="6" t="s">
        <v>283</v>
      </c>
      <c r="O14" s="6" t="s">
        <v>284</v>
      </c>
      <c r="P14" s="6" t="s">
        <v>285</v>
      </c>
      <c r="Q14" s="6">
        <v>0</v>
      </c>
      <c r="R14" s="6">
        <v>0</v>
      </c>
      <c r="S14" s="6" t="s">
        <v>286</v>
      </c>
      <c r="T14" s="6" t="s">
        <v>287</v>
      </c>
      <c r="U14" s="7" t="s">
        <v>288</v>
      </c>
      <c r="V14" s="4"/>
      <c r="W14" s="4"/>
      <c r="X14" s="4"/>
      <c r="Y14" s="4"/>
      <c r="Z14" s="4"/>
      <c r="AA14" s="4"/>
      <c r="AB14" s="4"/>
      <c r="AC14" s="4"/>
      <c r="AD14" s="4"/>
      <c r="AE14" s="4"/>
      <c r="AF14" s="4"/>
      <c r="AG14" s="4"/>
      <c r="AH14" s="4"/>
      <c r="AI14" s="4"/>
    </row>
    <row r="15" ht="24" customHeight="1" spans="1:35" s="4" customFormat="1" x14ac:dyDescent="0.25">
      <c r="A15" s="4">
        <v>11</v>
      </c>
      <c r="B15" s="4" t="s">
        <v>335</v>
      </c>
      <c r="C15" s="4" t="s">
        <v>336</v>
      </c>
      <c r="D15" s="4" t="s">
        <v>321</v>
      </c>
      <c r="E15" s="5" t="s">
        <v>337</v>
      </c>
      <c r="F15" s="5" t="s">
        <v>338</v>
      </c>
      <c r="G15" s="4" t="s">
        <v>279</v>
      </c>
      <c r="H15" s="4" t="s">
        <v>280</v>
      </c>
      <c r="I15" s="4" t="s">
        <v>339</v>
      </c>
      <c r="J15" s="4" t="s">
        <v>282</v>
      </c>
      <c r="K15" s="4" t="s">
        <v>282</v>
      </c>
      <c r="L15" s="4" t="s">
        <v>282</v>
      </c>
      <c r="M15" s="4" t="s">
        <v>282</v>
      </c>
      <c r="N15" s="4" t="s">
        <v>283</v>
      </c>
      <c r="O15" s="4" t="s">
        <v>284</v>
      </c>
      <c r="P15" s="4" t="s">
        <v>285</v>
      </c>
      <c r="Q15" s="4">
        <v>0</v>
      </c>
      <c r="R15" s="4">
        <v>0</v>
      </c>
      <c r="S15" s="4" t="s">
        <v>286</v>
      </c>
      <c r="T15" s="4" t="s">
        <v>287</v>
      </c>
      <c r="U15" s="5" t="s">
        <v>288</v>
      </c>
      <c r="V15" s="4"/>
      <c r="W15" s="4"/>
      <c r="X15" s="4"/>
      <c r="Y15" s="4"/>
      <c r="Z15" s="4"/>
      <c r="AA15" s="4"/>
      <c r="AB15" s="4"/>
      <c r="AC15" s="4"/>
      <c r="AD15" s="4"/>
      <c r="AE15" s="4"/>
      <c r="AF15" s="4"/>
      <c r="AG15" s="4"/>
      <c r="AH15" s="4"/>
      <c r="AI15" s="4"/>
    </row>
    <row r="16" ht="24" customHeight="1" spans="1:35" s="4" customFormat="1" x14ac:dyDescent="0.25">
      <c r="A16" s="6">
        <v>12</v>
      </c>
      <c r="B16" s="6" t="s">
        <v>340</v>
      </c>
      <c r="C16" s="6" t="s">
        <v>341</v>
      </c>
      <c r="D16" s="6" t="s">
        <v>321</v>
      </c>
      <c r="E16" s="7" t="s">
        <v>342</v>
      </c>
      <c r="F16" s="7" t="s">
        <v>343</v>
      </c>
      <c r="G16" s="6" t="s">
        <v>279</v>
      </c>
      <c r="H16" s="6" t="s">
        <v>280</v>
      </c>
      <c r="I16" s="6" t="s">
        <v>344</v>
      </c>
      <c r="J16" s="6" t="s">
        <v>282</v>
      </c>
      <c r="K16" s="6" t="s">
        <v>282</v>
      </c>
      <c r="L16" s="6" t="s">
        <v>282</v>
      </c>
      <c r="M16" s="6" t="s">
        <v>282</v>
      </c>
      <c r="N16" s="6" t="s">
        <v>283</v>
      </c>
      <c r="O16" s="6" t="s">
        <v>284</v>
      </c>
      <c r="P16" s="6" t="s">
        <v>285</v>
      </c>
      <c r="Q16" s="6">
        <v>0</v>
      </c>
      <c r="R16" s="6">
        <v>0</v>
      </c>
      <c r="S16" s="6" t="s">
        <v>286</v>
      </c>
      <c r="T16" s="6" t="s">
        <v>287</v>
      </c>
      <c r="U16" s="7" t="s">
        <v>288</v>
      </c>
      <c r="V16" s="4"/>
      <c r="W16" s="4"/>
      <c r="X16" s="4"/>
      <c r="Y16" s="4"/>
      <c r="Z16" s="4"/>
      <c r="AA16" s="4"/>
      <c r="AB16" s="4"/>
      <c r="AC16" s="4"/>
      <c r="AD16" s="4"/>
      <c r="AE16" s="4"/>
      <c r="AF16" s="4"/>
      <c r="AG16" s="4"/>
      <c r="AH16" s="4"/>
      <c r="AI16" s="4"/>
    </row>
    <row r="17" ht="24" customHeight="1" spans="1:35" s="4" customFormat="1" x14ac:dyDescent="0.25">
      <c r="A17" s="4">
        <v>13</v>
      </c>
      <c r="B17" s="4" t="s">
        <v>345</v>
      </c>
      <c r="C17" s="4" t="s">
        <v>346</v>
      </c>
      <c r="D17" s="4" t="s">
        <v>321</v>
      </c>
      <c r="E17" s="5" t="s">
        <v>347</v>
      </c>
      <c r="F17" s="5" t="s">
        <v>348</v>
      </c>
      <c r="G17" s="4" t="s">
        <v>279</v>
      </c>
      <c r="H17" s="4" t="s">
        <v>280</v>
      </c>
      <c r="I17" s="4" t="s">
        <v>349</v>
      </c>
      <c r="J17" s="4" t="s">
        <v>282</v>
      </c>
      <c r="K17" s="4" t="s">
        <v>282</v>
      </c>
      <c r="L17" s="4" t="s">
        <v>282</v>
      </c>
      <c r="M17" s="4" t="s">
        <v>282</v>
      </c>
      <c r="N17" s="4" t="s">
        <v>283</v>
      </c>
      <c r="O17" s="4" t="s">
        <v>284</v>
      </c>
      <c r="P17" s="4" t="s">
        <v>285</v>
      </c>
      <c r="Q17" s="4">
        <v>0</v>
      </c>
      <c r="R17" s="4">
        <v>0</v>
      </c>
      <c r="S17" s="4" t="s">
        <v>286</v>
      </c>
      <c r="T17" s="4" t="s">
        <v>287</v>
      </c>
      <c r="U17" s="5" t="s">
        <v>288</v>
      </c>
      <c r="V17" s="4"/>
      <c r="W17" s="4"/>
      <c r="X17" s="4"/>
      <c r="Y17" s="4"/>
      <c r="Z17" s="4"/>
      <c r="AA17" s="4"/>
      <c r="AB17" s="4"/>
      <c r="AC17" s="4"/>
      <c r="AD17" s="4"/>
      <c r="AE17" s="4"/>
      <c r="AF17" s="4"/>
      <c r="AG17" s="4"/>
      <c r="AH17" s="4"/>
      <c r="AI17" s="4"/>
    </row>
    <row r="18" ht="24" customHeight="1" spans="1:35" s="4" customFormat="1" x14ac:dyDescent="0.25">
      <c r="A18" s="6">
        <v>14</v>
      </c>
      <c r="B18" s="6" t="s">
        <v>350</v>
      </c>
      <c r="C18" s="6" t="s">
        <v>351</v>
      </c>
      <c r="D18" s="6" t="s">
        <v>352</v>
      </c>
      <c r="E18" s="7" t="s">
        <v>353</v>
      </c>
      <c r="F18" s="7" t="s">
        <v>354</v>
      </c>
      <c r="G18" s="6" t="s">
        <v>279</v>
      </c>
      <c r="H18" s="6" t="s">
        <v>280</v>
      </c>
      <c r="I18" s="6" t="s">
        <v>355</v>
      </c>
      <c r="J18" s="6" t="s">
        <v>282</v>
      </c>
      <c r="K18" s="6" t="s">
        <v>282</v>
      </c>
      <c r="L18" s="6" t="s">
        <v>282</v>
      </c>
      <c r="M18" s="6" t="s">
        <v>282</v>
      </c>
      <c r="N18" s="6" t="s">
        <v>283</v>
      </c>
      <c r="O18" s="6" t="s">
        <v>284</v>
      </c>
      <c r="P18" s="6" t="s">
        <v>285</v>
      </c>
      <c r="Q18" s="6">
        <v>0</v>
      </c>
      <c r="R18" s="6">
        <v>0</v>
      </c>
      <c r="S18" s="6" t="s">
        <v>286</v>
      </c>
      <c r="T18" s="6" t="s">
        <v>287</v>
      </c>
      <c r="U18" s="7" t="s">
        <v>288</v>
      </c>
      <c r="V18" s="4"/>
      <c r="W18" s="4"/>
      <c r="X18" s="4"/>
      <c r="Y18" s="4"/>
      <c r="Z18" s="4"/>
      <c r="AA18" s="4"/>
      <c r="AB18" s="4"/>
      <c r="AC18" s="4"/>
      <c r="AD18" s="4"/>
      <c r="AE18" s="4"/>
      <c r="AF18" s="4"/>
      <c r="AG18" s="4"/>
      <c r="AH18" s="4"/>
      <c r="AI18" s="4"/>
    </row>
    <row r="19" ht="24" customHeight="1" spans="1:35" s="4" customFormat="1" x14ac:dyDescent="0.25">
      <c r="A19" s="4">
        <v>15</v>
      </c>
      <c r="B19" s="4" t="s">
        <v>356</v>
      </c>
      <c r="C19" s="4" t="s">
        <v>357</v>
      </c>
      <c r="D19" s="4" t="s">
        <v>352</v>
      </c>
      <c r="E19" s="5" t="s">
        <v>358</v>
      </c>
      <c r="F19" s="5" t="s">
        <v>359</v>
      </c>
      <c r="G19" s="4" t="s">
        <v>279</v>
      </c>
      <c r="H19" s="4" t="s">
        <v>280</v>
      </c>
      <c r="I19" s="4" t="s">
        <v>360</v>
      </c>
      <c r="J19" s="4" t="s">
        <v>282</v>
      </c>
      <c r="K19" s="4" t="s">
        <v>282</v>
      </c>
      <c r="L19" s="4" t="s">
        <v>282</v>
      </c>
      <c r="M19" s="4" t="s">
        <v>282</v>
      </c>
      <c r="N19" s="4" t="s">
        <v>283</v>
      </c>
      <c r="O19" s="4" t="s">
        <v>284</v>
      </c>
      <c r="P19" s="4" t="s">
        <v>285</v>
      </c>
      <c r="Q19" s="4">
        <v>0</v>
      </c>
      <c r="R19" s="4">
        <v>0</v>
      </c>
      <c r="S19" s="4" t="s">
        <v>286</v>
      </c>
      <c r="T19" s="4" t="s">
        <v>287</v>
      </c>
      <c r="U19" s="5" t="s">
        <v>288</v>
      </c>
      <c r="V19" s="4"/>
      <c r="W19" s="4"/>
      <c r="X19" s="4"/>
      <c r="Y19" s="4"/>
      <c r="Z19" s="4"/>
      <c r="AA19" s="4"/>
      <c r="AB19" s="4"/>
      <c r="AC19" s="4"/>
      <c r="AD19" s="4"/>
      <c r="AE19" s="4"/>
      <c r="AF19" s="4"/>
      <c r="AG19" s="4"/>
      <c r="AH19" s="4"/>
      <c r="AI19" s="4"/>
    </row>
    <row r="20" ht="24" customHeight="1" spans="1:35" s="4" customFormat="1" x14ac:dyDescent="0.25">
      <c r="A20" s="6">
        <v>16</v>
      </c>
      <c r="B20" s="6" t="s">
        <v>361</v>
      </c>
      <c r="C20" s="6" t="s">
        <v>362</v>
      </c>
      <c r="D20" s="6" t="s">
        <v>352</v>
      </c>
      <c r="E20" s="7" t="s">
        <v>363</v>
      </c>
      <c r="F20" s="7" t="s">
        <v>364</v>
      </c>
      <c r="G20" s="6" t="s">
        <v>279</v>
      </c>
      <c r="H20" s="6" t="s">
        <v>280</v>
      </c>
      <c r="I20" s="6" t="s">
        <v>365</v>
      </c>
      <c r="J20" s="6" t="s">
        <v>282</v>
      </c>
      <c r="K20" s="6" t="s">
        <v>282</v>
      </c>
      <c r="L20" s="6" t="s">
        <v>282</v>
      </c>
      <c r="M20" s="6" t="s">
        <v>282</v>
      </c>
      <c r="N20" s="6" t="s">
        <v>283</v>
      </c>
      <c r="O20" s="6" t="s">
        <v>284</v>
      </c>
      <c r="P20" s="6" t="s">
        <v>285</v>
      </c>
      <c r="Q20" s="6">
        <v>0</v>
      </c>
      <c r="R20" s="6">
        <v>0</v>
      </c>
      <c r="S20" s="6" t="s">
        <v>286</v>
      </c>
      <c r="T20" s="6" t="s">
        <v>287</v>
      </c>
      <c r="U20" s="7" t="s">
        <v>288</v>
      </c>
      <c r="V20" s="4"/>
      <c r="W20" s="4"/>
      <c r="X20" s="4"/>
      <c r="Y20" s="4"/>
      <c r="Z20" s="4"/>
      <c r="AA20" s="4"/>
      <c r="AB20" s="4"/>
      <c r="AC20" s="4"/>
      <c r="AD20" s="4"/>
      <c r="AE20" s="4"/>
      <c r="AF20" s="4"/>
      <c r="AG20" s="4"/>
      <c r="AH20" s="4"/>
      <c r="AI20" s="4"/>
    </row>
    <row r="21" ht="24" customHeight="1" spans="1:35" s="4" customFormat="1" x14ac:dyDescent="0.25">
      <c r="A21" s="4">
        <v>17</v>
      </c>
      <c r="B21" s="4" t="s">
        <v>366</v>
      </c>
      <c r="C21" s="4" t="s">
        <v>367</v>
      </c>
      <c r="D21" s="4" t="s">
        <v>352</v>
      </c>
      <c r="E21" s="5" t="s">
        <v>368</v>
      </c>
      <c r="F21" s="5" t="s">
        <v>369</v>
      </c>
      <c r="G21" s="4" t="s">
        <v>279</v>
      </c>
      <c r="H21" s="4" t="s">
        <v>280</v>
      </c>
      <c r="I21" s="4" t="s">
        <v>370</v>
      </c>
      <c r="J21" s="4" t="s">
        <v>282</v>
      </c>
      <c r="K21" s="4" t="s">
        <v>282</v>
      </c>
      <c r="L21" s="4" t="s">
        <v>282</v>
      </c>
      <c r="M21" s="4" t="s">
        <v>282</v>
      </c>
      <c r="N21" s="4" t="s">
        <v>283</v>
      </c>
      <c r="O21" s="4" t="s">
        <v>284</v>
      </c>
      <c r="P21" s="4" t="s">
        <v>285</v>
      </c>
      <c r="Q21" s="4">
        <v>0</v>
      </c>
      <c r="R21" s="4">
        <v>0</v>
      </c>
      <c r="S21" s="4" t="s">
        <v>286</v>
      </c>
      <c r="T21" s="4" t="s">
        <v>287</v>
      </c>
      <c r="U21" s="5" t="s">
        <v>288</v>
      </c>
      <c r="V21" s="4"/>
      <c r="W21" s="4"/>
      <c r="X21" s="4"/>
      <c r="Y21" s="4"/>
      <c r="Z21" s="4"/>
      <c r="AA21" s="4"/>
      <c r="AB21" s="4"/>
      <c r="AC21" s="4"/>
      <c r="AD21" s="4"/>
      <c r="AE21" s="4"/>
      <c r="AF21" s="4"/>
      <c r="AG21" s="4"/>
      <c r="AH21" s="4"/>
      <c r="AI21" s="4"/>
    </row>
    <row r="22" ht="24" customHeight="1" spans="1:35" s="4" customFormat="1" x14ac:dyDescent="0.25">
      <c r="A22" s="6">
        <v>18</v>
      </c>
      <c r="B22" s="6" t="s">
        <v>371</v>
      </c>
      <c r="C22" s="6" t="s">
        <v>372</v>
      </c>
      <c r="D22" s="6" t="s">
        <v>352</v>
      </c>
      <c r="E22" s="7" t="s">
        <v>373</v>
      </c>
      <c r="F22" s="7" t="s">
        <v>374</v>
      </c>
      <c r="G22" s="6" t="s">
        <v>279</v>
      </c>
      <c r="H22" s="6" t="s">
        <v>280</v>
      </c>
      <c r="I22" s="6" t="s">
        <v>375</v>
      </c>
      <c r="J22" s="6" t="s">
        <v>282</v>
      </c>
      <c r="K22" s="6" t="s">
        <v>282</v>
      </c>
      <c r="L22" s="6" t="s">
        <v>282</v>
      </c>
      <c r="M22" s="6" t="s">
        <v>282</v>
      </c>
      <c r="N22" s="6" t="s">
        <v>283</v>
      </c>
      <c r="O22" s="6" t="s">
        <v>284</v>
      </c>
      <c r="P22" s="6" t="s">
        <v>285</v>
      </c>
      <c r="Q22" s="6">
        <v>0</v>
      </c>
      <c r="R22" s="6">
        <v>0</v>
      </c>
      <c r="S22" s="6" t="s">
        <v>286</v>
      </c>
      <c r="T22" s="6" t="s">
        <v>287</v>
      </c>
      <c r="U22" s="7" t="s">
        <v>288</v>
      </c>
      <c r="V22" s="4"/>
      <c r="W22" s="4"/>
      <c r="X22" s="4"/>
      <c r="Y22" s="4"/>
      <c r="Z22" s="4"/>
      <c r="AA22" s="4"/>
      <c r="AB22" s="4"/>
      <c r="AC22" s="4"/>
      <c r="AD22" s="4"/>
      <c r="AE22" s="4"/>
      <c r="AF22" s="4"/>
      <c r="AG22" s="4"/>
      <c r="AH22" s="4"/>
      <c r="AI22" s="4"/>
    </row>
    <row r="23" ht="24" customHeight="1" spans="1:35" s="4" customFormat="1" x14ac:dyDescent="0.25">
      <c r="A23" s="4">
        <v>19</v>
      </c>
      <c r="B23" s="4" t="s">
        <v>376</v>
      </c>
      <c r="C23" s="4" t="s">
        <v>377</v>
      </c>
      <c r="D23" s="4" t="s">
        <v>352</v>
      </c>
      <c r="E23" s="5" t="s">
        <v>378</v>
      </c>
      <c r="F23" s="5" t="s">
        <v>379</v>
      </c>
      <c r="G23" s="4" t="s">
        <v>279</v>
      </c>
      <c r="H23" s="4" t="s">
        <v>280</v>
      </c>
      <c r="I23" s="4" t="s">
        <v>380</v>
      </c>
      <c r="J23" s="4" t="s">
        <v>282</v>
      </c>
      <c r="K23" s="4" t="s">
        <v>282</v>
      </c>
      <c r="L23" s="4" t="s">
        <v>282</v>
      </c>
      <c r="M23" s="4" t="s">
        <v>282</v>
      </c>
      <c r="N23" s="4" t="s">
        <v>283</v>
      </c>
      <c r="O23" s="4" t="s">
        <v>284</v>
      </c>
      <c r="P23" s="4" t="s">
        <v>285</v>
      </c>
      <c r="Q23" s="4">
        <v>0</v>
      </c>
      <c r="R23" s="4">
        <v>0</v>
      </c>
      <c r="S23" s="4" t="s">
        <v>286</v>
      </c>
      <c r="T23" s="4" t="s">
        <v>287</v>
      </c>
      <c r="U23" s="5" t="s">
        <v>288</v>
      </c>
      <c r="V23" s="4"/>
      <c r="W23" s="4"/>
      <c r="X23" s="4"/>
      <c r="Y23" s="4"/>
      <c r="Z23" s="4"/>
      <c r="AA23" s="4"/>
      <c r="AB23" s="4"/>
      <c r="AC23" s="4"/>
      <c r="AD23" s="4"/>
      <c r="AE23" s="4"/>
      <c r="AF23" s="4"/>
      <c r="AG23" s="4"/>
      <c r="AH23" s="4"/>
      <c r="AI23" s="4"/>
    </row>
    <row r="24" ht="24" customHeight="1" spans="1:35" s="4" customFormat="1" x14ac:dyDescent="0.25">
      <c r="A24" s="6">
        <v>20</v>
      </c>
      <c r="B24" s="6" t="s">
        <v>381</v>
      </c>
      <c r="C24" s="6" t="s">
        <v>382</v>
      </c>
      <c r="D24" s="6" t="s">
        <v>352</v>
      </c>
      <c r="E24" s="7" t="s">
        <v>383</v>
      </c>
      <c r="F24" s="7" t="s">
        <v>384</v>
      </c>
      <c r="G24" s="6" t="s">
        <v>279</v>
      </c>
      <c r="H24" s="6" t="s">
        <v>280</v>
      </c>
      <c r="I24" s="6" t="s">
        <v>385</v>
      </c>
      <c r="J24" s="6" t="s">
        <v>282</v>
      </c>
      <c r="K24" s="6" t="s">
        <v>282</v>
      </c>
      <c r="L24" s="6" t="s">
        <v>282</v>
      </c>
      <c r="M24" s="6" t="s">
        <v>282</v>
      </c>
      <c r="N24" s="6" t="s">
        <v>283</v>
      </c>
      <c r="O24" s="6" t="s">
        <v>284</v>
      </c>
      <c r="P24" s="6" t="s">
        <v>285</v>
      </c>
      <c r="Q24" s="6">
        <v>0</v>
      </c>
      <c r="R24" s="6">
        <v>0</v>
      </c>
      <c r="S24" s="6" t="s">
        <v>286</v>
      </c>
      <c r="T24" s="6" t="s">
        <v>287</v>
      </c>
      <c r="U24" s="7" t="s">
        <v>288</v>
      </c>
      <c r="V24" s="4"/>
      <c r="W24" s="4"/>
      <c r="X24" s="4"/>
      <c r="Y24" s="4"/>
      <c r="Z24" s="4"/>
      <c r="AA24" s="4"/>
      <c r="AB24" s="4"/>
      <c r="AC24" s="4"/>
      <c r="AD24" s="4"/>
      <c r="AE24" s="4"/>
      <c r="AF24" s="4"/>
      <c r="AG24" s="4"/>
      <c r="AH24" s="4"/>
      <c r="AI24" s="4"/>
    </row>
    <row r="25" ht="24" customHeight="1" spans="1:35" s="4" customFormat="1" x14ac:dyDescent="0.25">
      <c r="A25" s="4">
        <v>21</v>
      </c>
      <c r="B25" s="4" t="s">
        <v>386</v>
      </c>
      <c r="C25" s="4" t="s">
        <v>387</v>
      </c>
      <c r="D25" s="4" t="s">
        <v>352</v>
      </c>
      <c r="E25" s="5" t="s">
        <v>388</v>
      </c>
      <c r="F25" s="5" t="s">
        <v>389</v>
      </c>
      <c r="G25" s="4" t="s">
        <v>279</v>
      </c>
      <c r="H25" s="4" t="s">
        <v>280</v>
      </c>
      <c r="I25" s="4" t="s">
        <v>390</v>
      </c>
      <c r="J25" s="4" t="s">
        <v>282</v>
      </c>
      <c r="K25" s="4" t="s">
        <v>282</v>
      </c>
      <c r="L25" s="4" t="s">
        <v>282</v>
      </c>
      <c r="M25" s="4" t="s">
        <v>282</v>
      </c>
      <c r="N25" s="4" t="s">
        <v>283</v>
      </c>
      <c r="O25" s="4" t="s">
        <v>284</v>
      </c>
      <c r="P25" s="4" t="s">
        <v>285</v>
      </c>
      <c r="Q25" s="4">
        <v>0</v>
      </c>
      <c r="R25" s="4">
        <v>0</v>
      </c>
      <c r="S25" s="4" t="s">
        <v>286</v>
      </c>
      <c r="T25" s="4" t="s">
        <v>287</v>
      </c>
      <c r="U25" s="5" t="s">
        <v>288</v>
      </c>
      <c r="V25" s="4"/>
      <c r="W25" s="4"/>
      <c r="X25" s="4"/>
      <c r="Y25" s="4"/>
      <c r="Z25" s="4"/>
      <c r="AA25" s="4"/>
      <c r="AB25" s="4"/>
      <c r="AC25" s="4"/>
      <c r="AD25" s="4"/>
      <c r="AE25" s="4"/>
      <c r="AF25" s="4"/>
      <c r="AG25" s="4"/>
      <c r="AH25" s="4"/>
      <c r="AI25" s="4"/>
    </row>
    <row r="26" ht="24" customHeight="1" spans="1:35" s="4" customFormat="1" x14ac:dyDescent="0.25">
      <c r="A26" s="6">
        <v>22</v>
      </c>
      <c r="B26" s="6" t="s">
        <v>391</v>
      </c>
      <c r="C26" s="6" t="s">
        <v>392</v>
      </c>
      <c r="D26" s="6" t="s">
        <v>393</v>
      </c>
      <c r="E26" s="7" t="s">
        <v>394</v>
      </c>
      <c r="F26" s="7" t="s">
        <v>395</v>
      </c>
      <c r="G26" s="6" t="s">
        <v>279</v>
      </c>
      <c r="H26" s="6" t="s">
        <v>280</v>
      </c>
      <c r="I26" s="6" t="s">
        <v>396</v>
      </c>
      <c r="J26" s="6" t="s">
        <v>282</v>
      </c>
      <c r="K26" s="6" t="s">
        <v>282</v>
      </c>
      <c r="L26" s="6" t="s">
        <v>282</v>
      </c>
      <c r="M26" s="6" t="s">
        <v>282</v>
      </c>
      <c r="N26" s="6" t="s">
        <v>283</v>
      </c>
      <c r="O26" s="6" t="s">
        <v>284</v>
      </c>
      <c r="P26" s="6" t="s">
        <v>285</v>
      </c>
      <c r="Q26" s="6">
        <v>0</v>
      </c>
      <c r="R26" s="6">
        <v>0</v>
      </c>
      <c r="S26" s="6" t="s">
        <v>286</v>
      </c>
      <c r="T26" s="6" t="s">
        <v>287</v>
      </c>
      <c r="U26" s="7" t="s">
        <v>288</v>
      </c>
      <c r="V26" s="4"/>
      <c r="W26" s="4"/>
      <c r="X26" s="4"/>
      <c r="Y26" s="4"/>
      <c r="Z26" s="4"/>
      <c r="AA26" s="4"/>
      <c r="AB26" s="4"/>
      <c r="AC26" s="4"/>
      <c r="AD26" s="4"/>
      <c r="AE26" s="4"/>
      <c r="AF26" s="4"/>
      <c r="AG26" s="4"/>
      <c r="AH26" s="4"/>
      <c r="AI26" s="4"/>
    </row>
    <row r="27" ht="24" customHeight="1" spans="1:35" s="4" customFormat="1" x14ac:dyDescent="0.25">
      <c r="A27" s="4">
        <v>23</v>
      </c>
      <c r="B27" s="4" t="s">
        <v>397</v>
      </c>
      <c r="C27" s="4" t="s">
        <v>398</v>
      </c>
      <c r="D27" s="4" t="s">
        <v>393</v>
      </c>
      <c r="E27" s="5" t="s">
        <v>399</v>
      </c>
      <c r="F27" s="5" t="s">
        <v>400</v>
      </c>
      <c r="G27" s="4" t="s">
        <v>279</v>
      </c>
      <c r="H27" s="4" t="s">
        <v>280</v>
      </c>
      <c r="I27" s="4" t="s">
        <v>401</v>
      </c>
      <c r="J27" s="4" t="s">
        <v>282</v>
      </c>
      <c r="K27" s="4" t="s">
        <v>282</v>
      </c>
      <c r="L27" s="4" t="s">
        <v>282</v>
      </c>
      <c r="M27" s="4" t="s">
        <v>282</v>
      </c>
      <c r="N27" s="4" t="s">
        <v>283</v>
      </c>
      <c r="O27" s="4" t="s">
        <v>284</v>
      </c>
      <c r="P27" s="4" t="s">
        <v>285</v>
      </c>
      <c r="Q27" s="4">
        <v>0</v>
      </c>
      <c r="R27" s="4">
        <v>0</v>
      </c>
      <c r="S27" s="4" t="s">
        <v>286</v>
      </c>
      <c r="T27" s="4" t="s">
        <v>287</v>
      </c>
      <c r="U27" s="5" t="s">
        <v>288</v>
      </c>
      <c r="V27" s="4"/>
      <c r="W27" s="4"/>
      <c r="X27" s="4"/>
      <c r="Y27" s="4"/>
      <c r="Z27" s="4"/>
      <c r="AA27" s="4"/>
      <c r="AB27" s="4"/>
      <c r="AC27" s="4"/>
      <c r="AD27" s="4"/>
      <c r="AE27" s="4"/>
      <c r="AF27" s="4"/>
      <c r="AG27" s="4"/>
      <c r="AH27" s="4"/>
      <c r="AI27" s="4"/>
    </row>
    <row r="28" ht="24" customHeight="1" spans="1:35" s="4" customFormat="1" x14ac:dyDescent="0.25">
      <c r="A28" s="6">
        <v>24</v>
      </c>
      <c r="B28" s="6" t="s">
        <v>402</v>
      </c>
      <c r="C28" s="6" t="s">
        <v>403</v>
      </c>
      <c r="D28" s="6" t="s">
        <v>393</v>
      </c>
      <c r="E28" s="7" t="s">
        <v>404</v>
      </c>
      <c r="F28" s="7" t="s">
        <v>405</v>
      </c>
      <c r="G28" s="6" t="s">
        <v>279</v>
      </c>
      <c r="H28" s="6" t="s">
        <v>280</v>
      </c>
      <c r="I28" s="6" t="s">
        <v>406</v>
      </c>
      <c r="J28" s="6" t="s">
        <v>282</v>
      </c>
      <c r="K28" s="6" t="s">
        <v>282</v>
      </c>
      <c r="L28" s="6" t="s">
        <v>282</v>
      </c>
      <c r="M28" s="6" t="s">
        <v>282</v>
      </c>
      <c r="N28" s="6" t="s">
        <v>283</v>
      </c>
      <c r="O28" s="6" t="s">
        <v>284</v>
      </c>
      <c r="P28" s="6" t="s">
        <v>285</v>
      </c>
      <c r="Q28" s="6">
        <v>0</v>
      </c>
      <c r="R28" s="6">
        <v>0</v>
      </c>
      <c r="S28" s="6" t="s">
        <v>286</v>
      </c>
      <c r="T28" s="6" t="s">
        <v>287</v>
      </c>
      <c r="U28" s="7" t="s">
        <v>288</v>
      </c>
      <c r="V28" s="4"/>
      <c r="W28" s="4"/>
      <c r="X28" s="4"/>
      <c r="Y28" s="4"/>
      <c r="Z28" s="4"/>
      <c r="AA28" s="4"/>
      <c r="AB28" s="4"/>
      <c r="AC28" s="4"/>
      <c r="AD28" s="4"/>
      <c r="AE28" s="4"/>
      <c r="AF28" s="4"/>
      <c r="AG28" s="4"/>
      <c r="AH28" s="4"/>
      <c r="AI28" s="4"/>
    </row>
    <row r="29" ht="24" customHeight="1" spans="1:35" s="4" customFormat="1" x14ac:dyDescent="0.25">
      <c r="A29" s="4">
        <v>25</v>
      </c>
      <c r="B29" s="4" t="s">
        <v>407</v>
      </c>
      <c r="C29" s="4" t="s">
        <v>408</v>
      </c>
      <c r="D29" s="4" t="s">
        <v>393</v>
      </c>
      <c r="E29" s="5" t="s">
        <v>409</v>
      </c>
      <c r="F29" s="5" t="s">
        <v>410</v>
      </c>
      <c r="G29" s="4" t="s">
        <v>279</v>
      </c>
      <c r="H29" s="4" t="s">
        <v>280</v>
      </c>
      <c r="I29" s="4" t="s">
        <v>411</v>
      </c>
      <c r="J29" s="4" t="s">
        <v>282</v>
      </c>
      <c r="K29" s="4" t="s">
        <v>282</v>
      </c>
      <c r="L29" s="4" t="s">
        <v>282</v>
      </c>
      <c r="M29" s="4" t="s">
        <v>282</v>
      </c>
      <c r="N29" s="4" t="s">
        <v>283</v>
      </c>
      <c r="O29" s="4" t="s">
        <v>284</v>
      </c>
      <c r="P29" s="4" t="s">
        <v>285</v>
      </c>
      <c r="Q29" s="4">
        <v>0</v>
      </c>
      <c r="R29" s="4">
        <v>0</v>
      </c>
      <c r="S29" s="4" t="s">
        <v>286</v>
      </c>
      <c r="T29" s="4" t="s">
        <v>287</v>
      </c>
      <c r="U29" s="5" t="s">
        <v>288</v>
      </c>
      <c r="V29" s="4"/>
      <c r="W29" s="4"/>
      <c r="X29" s="4"/>
      <c r="Y29" s="4"/>
      <c r="Z29" s="4"/>
      <c r="AA29" s="4"/>
      <c r="AB29" s="4"/>
      <c r="AC29" s="4"/>
      <c r="AD29" s="4"/>
      <c r="AE29" s="4"/>
      <c r="AF29" s="4"/>
      <c r="AG29" s="4"/>
      <c r="AH29" s="4"/>
      <c r="AI29" s="4"/>
    </row>
    <row r="30" ht="24" customHeight="1" spans="1:35" s="4" customFormat="1" x14ac:dyDescent="0.25">
      <c r="A30" s="6">
        <v>26</v>
      </c>
      <c r="B30" s="6" t="s">
        <v>412</v>
      </c>
      <c r="C30" s="6" t="s">
        <v>413</v>
      </c>
      <c r="D30" s="6" t="s">
        <v>414</v>
      </c>
      <c r="E30" s="7" t="s">
        <v>415</v>
      </c>
      <c r="F30" s="7" t="s">
        <v>416</v>
      </c>
      <c r="G30" s="6" t="s">
        <v>279</v>
      </c>
      <c r="H30" s="6" t="s">
        <v>280</v>
      </c>
      <c r="I30" s="6" t="s">
        <v>417</v>
      </c>
      <c r="J30" s="6" t="s">
        <v>282</v>
      </c>
      <c r="K30" s="6" t="s">
        <v>282</v>
      </c>
      <c r="L30" s="6" t="s">
        <v>282</v>
      </c>
      <c r="M30" s="6" t="s">
        <v>282</v>
      </c>
      <c r="N30" s="6" t="s">
        <v>283</v>
      </c>
      <c r="O30" s="6" t="s">
        <v>284</v>
      </c>
      <c r="P30" s="6" t="s">
        <v>285</v>
      </c>
      <c r="Q30" s="6">
        <v>0</v>
      </c>
      <c r="R30" s="6">
        <v>0</v>
      </c>
      <c r="S30" s="6" t="s">
        <v>286</v>
      </c>
      <c r="T30" s="6" t="s">
        <v>287</v>
      </c>
      <c r="U30" s="7" t="s">
        <v>288</v>
      </c>
      <c r="V30" s="4"/>
      <c r="W30" s="4"/>
      <c r="X30" s="4"/>
      <c r="Y30" s="4"/>
      <c r="Z30" s="4"/>
      <c r="AA30" s="4"/>
      <c r="AB30" s="4"/>
      <c r="AC30" s="4"/>
      <c r="AD30" s="4"/>
      <c r="AE30" s="4"/>
      <c r="AF30" s="4"/>
      <c r="AG30" s="4"/>
      <c r="AH30" s="4"/>
      <c r="AI30" s="4"/>
    </row>
    <row r="31" ht="24" customHeight="1" spans="1:35" s="4" customFormat="1" x14ac:dyDescent="0.25">
      <c r="A31" s="4">
        <v>27</v>
      </c>
      <c r="B31" s="4" t="s">
        <v>418</v>
      </c>
      <c r="C31" s="4" t="s">
        <v>419</v>
      </c>
      <c r="D31" s="4" t="s">
        <v>414</v>
      </c>
      <c r="E31" s="5" t="s">
        <v>420</v>
      </c>
      <c r="F31" s="5" t="s">
        <v>421</v>
      </c>
      <c r="G31" s="4" t="s">
        <v>279</v>
      </c>
      <c r="H31" s="4" t="s">
        <v>280</v>
      </c>
      <c r="I31" s="4" t="s">
        <v>422</v>
      </c>
      <c r="J31" s="4" t="s">
        <v>282</v>
      </c>
      <c r="K31" s="4" t="s">
        <v>282</v>
      </c>
      <c r="L31" s="4" t="s">
        <v>282</v>
      </c>
      <c r="M31" s="4" t="s">
        <v>282</v>
      </c>
      <c r="N31" s="4" t="s">
        <v>283</v>
      </c>
      <c r="O31" s="4" t="s">
        <v>284</v>
      </c>
      <c r="P31" s="4" t="s">
        <v>285</v>
      </c>
      <c r="Q31" s="4">
        <v>0</v>
      </c>
      <c r="R31" s="4">
        <v>0</v>
      </c>
      <c r="S31" s="4" t="s">
        <v>286</v>
      </c>
      <c r="T31" s="4" t="s">
        <v>287</v>
      </c>
      <c r="U31" s="5" t="s">
        <v>288</v>
      </c>
      <c r="V31" s="4"/>
      <c r="W31" s="4"/>
      <c r="X31" s="4"/>
      <c r="Y31" s="4"/>
      <c r="Z31" s="4"/>
      <c r="AA31" s="4"/>
      <c r="AB31" s="4"/>
      <c r="AC31" s="4"/>
      <c r="AD31" s="4"/>
      <c r="AE31" s="4"/>
      <c r="AF31" s="4"/>
      <c r="AG31" s="4"/>
      <c r="AH31" s="4"/>
      <c r="AI31" s="4"/>
    </row>
    <row r="32" ht="24" customHeight="1" spans="1:35" s="4" customFormat="1" x14ac:dyDescent="0.25">
      <c r="A32" s="6">
        <v>28</v>
      </c>
      <c r="B32" s="6" t="s">
        <v>423</v>
      </c>
      <c r="C32" s="6" t="s">
        <v>424</v>
      </c>
      <c r="D32" s="6" t="s">
        <v>414</v>
      </c>
      <c r="E32" s="7" t="s">
        <v>425</v>
      </c>
      <c r="F32" s="7" t="s">
        <v>426</v>
      </c>
      <c r="G32" s="6" t="s">
        <v>279</v>
      </c>
      <c r="H32" s="6" t="s">
        <v>280</v>
      </c>
      <c r="I32" s="6" t="s">
        <v>427</v>
      </c>
      <c r="J32" s="6" t="s">
        <v>282</v>
      </c>
      <c r="K32" s="6" t="s">
        <v>282</v>
      </c>
      <c r="L32" s="6" t="s">
        <v>282</v>
      </c>
      <c r="M32" s="6" t="s">
        <v>282</v>
      </c>
      <c r="N32" s="6" t="s">
        <v>283</v>
      </c>
      <c r="O32" s="6" t="s">
        <v>284</v>
      </c>
      <c r="P32" s="6" t="s">
        <v>285</v>
      </c>
      <c r="Q32" s="6">
        <v>0</v>
      </c>
      <c r="R32" s="6">
        <v>0</v>
      </c>
      <c r="S32" s="6" t="s">
        <v>286</v>
      </c>
      <c r="T32" s="6" t="s">
        <v>287</v>
      </c>
      <c r="U32" s="7" t="s">
        <v>288</v>
      </c>
      <c r="V32" s="4"/>
      <c r="W32" s="4"/>
      <c r="X32" s="4"/>
      <c r="Y32" s="4"/>
      <c r="Z32" s="4"/>
      <c r="AA32" s="4"/>
      <c r="AB32" s="4"/>
      <c r="AC32" s="4"/>
      <c r="AD32" s="4"/>
      <c r="AE32" s="4"/>
      <c r="AF32" s="4"/>
      <c r="AG32" s="4"/>
      <c r="AH32" s="4"/>
      <c r="AI32" s="4"/>
    </row>
    <row r="33" ht="24" customHeight="1" spans="1:35" s="4" customFormat="1" x14ac:dyDescent="0.25">
      <c r="A33" s="4">
        <v>29</v>
      </c>
      <c r="B33" s="4" t="s">
        <v>428</v>
      </c>
      <c r="C33" s="4" t="s">
        <v>429</v>
      </c>
      <c r="D33" s="4" t="s">
        <v>414</v>
      </c>
      <c r="E33" s="5" t="s">
        <v>430</v>
      </c>
      <c r="F33" s="5" t="s">
        <v>431</v>
      </c>
      <c r="G33" s="4" t="s">
        <v>279</v>
      </c>
      <c r="H33" s="4" t="s">
        <v>280</v>
      </c>
      <c r="I33" s="4" t="s">
        <v>432</v>
      </c>
      <c r="J33" s="4" t="s">
        <v>282</v>
      </c>
      <c r="K33" s="4" t="s">
        <v>282</v>
      </c>
      <c r="L33" s="4" t="s">
        <v>282</v>
      </c>
      <c r="M33" s="4" t="s">
        <v>282</v>
      </c>
      <c r="N33" s="4" t="s">
        <v>283</v>
      </c>
      <c r="O33" s="4" t="s">
        <v>284</v>
      </c>
      <c r="P33" s="4" t="s">
        <v>285</v>
      </c>
      <c r="Q33" s="4">
        <v>0</v>
      </c>
      <c r="R33" s="4">
        <v>0</v>
      </c>
      <c r="S33" s="4" t="s">
        <v>286</v>
      </c>
      <c r="T33" s="4" t="s">
        <v>287</v>
      </c>
      <c r="U33" s="5" t="s">
        <v>288</v>
      </c>
      <c r="V33" s="4"/>
      <c r="W33" s="4"/>
      <c r="X33" s="4"/>
      <c r="Y33" s="4"/>
      <c r="Z33" s="4"/>
      <c r="AA33" s="4"/>
      <c r="AB33" s="4"/>
      <c r="AC33" s="4"/>
      <c r="AD33" s="4"/>
      <c r="AE33" s="4"/>
      <c r="AF33" s="4"/>
      <c r="AG33" s="4"/>
      <c r="AH33" s="4"/>
      <c r="AI33" s="4"/>
    </row>
    <row r="34" ht="24" customHeight="1" spans="1:35" s="4" customFormat="1" x14ac:dyDescent="0.25">
      <c r="A34" s="6">
        <v>30</v>
      </c>
      <c r="B34" s="6" t="s">
        <v>433</v>
      </c>
      <c r="C34" s="6" t="s">
        <v>434</v>
      </c>
      <c r="D34" s="6" t="s">
        <v>435</v>
      </c>
      <c r="E34" s="7" t="s">
        <v>436</v>
      </c>
      <c r="F34" s="7" t="s">
        <v>437</v>
      </c>
      <c r="G34" s="6" t="s">
        <v>279</v>
      </c>
      <c r="H34" s="6" t="s">
        <v>280</v>
      </c>
      <c r="I34" s="6" t="s">
        <v>438</v>
      </c>
      <c r="J34" s="6" t="s">
        <v>282</v>
      </c>
      <c r="K34" s="6" t="s">
        <v>282</v>
      </c>
      <c r="L34" s="6" t="s">
        <v>282</v>
      </c>
      <c r="M34" s="6" t="s">
        <v>282</v>
      </c>
      <c r="N34" s="6" t="s">
        <v>283</v>
      </c>
      <c r="O34" s="6" t="s">
        <v>284</v>
      </c>
      <c r="P34" s="6" t="s">
        <v>285</v>
      </c>
      <c r="Q34" s="6">
        <v>0</v>
      </c>
      <c r="R34" s="6">
        <v>0</v>
      </c>
      <c r="S34" s="6" t="s">
        <v>286</v>
      </c>
      <c r="T34" s="6" t="s">
        <v>287</v>
      </c>
      <c r="U34" s="7" t="s">
        <v>288</v>
      </c>
      <c r="V34" s="4"/>
      <c r="W34" s="4"/>
      <c r="X34" s="4"/>
      <c r="Y34" s="4"/>
      <c r="Z34" s="4"/>
      <c r="AA34" s="4"/>
      <c r="AB34" s="4"/>
      <c r="AC34" s="4"/>
      <c r="AD34" s="4"/>
      <c r="AE34" s="4"/>
      <c r="AF34" s="4"/>
      <c r="AG34" s="4"/>
      <c r="AH34" s="4"/>
      <c r="AI34" s="4"/>
    </row>
    <row r="35" ht="24" customHeight="1" spans="1:35" s="4" customFormat="1" x14ac:dyDescent="0.25">
      <c r="A35" s="4">
        <v>31</v>
      </c>
      <c r="B35" s="4" t="s">
        <v>439</v>
      </c>
      <c r="C35" s="4" t="s">
        <v>440</v>
      </c>
      <c r="D35" s="4" t="s">
        <v>435</v>
      </c>
      <c r="E35" s="5" t="s">
        <v>441</v>
      </c>
      <c r="F35" s="5" t="s">
        <v>442</v>
      </c>
      <c r="G35" s="4" t="s">
        <v>279</v>
      </c>
      <c r="H35" s="4" t="s">
        <v>280</v>
      </c>
      <c r="I35" s="4" t="s">
        <v>443</v>
      </c>
      <c r="J35" s="4" t="s">
        <v>282</v>
      </c>
      <c r="K35" s="4" t="s">
        <v>282</v>
      </c>
      <c r="L35" s="4" t="s">
        <v>282</v>
      </c>
      <c r="M35" s="4" t="s">
        <v>282</v>
      </c>
      <c r="N35" s="4" t="s">
        <v>283</v>
      </c>
      <c r="O35" s="4" t="s">
        <v>284</v>
      </c>
      <c r="P35" s="4" t="s">
        <v>285</v>
      </c>
      <c r="Q35" s="4">
        <v>0</v>
      </c>
      <c r="R35" s="4">
        <v>0</v>
      </c>
      <c r="S35" s="4" t="s">
        <v>286</v>
      </c>
      <c r="T35" s="4" t="s">
        <v>287</v>
      </c>
      <c r="U35" s="5" t="s">
        <v>288</v>
      </c>
      <c r="V35" s="4"/>
      <c r="W35" s="4"/>
      <c r="X35" s="4"/>
      <c r="Y35" s="4"/>
      <c r="Z35" s="4"/>
      <c r="AA35" s="4"/>
      <c r="AB35" s="4"/>
      <c r="AC35" s="4"/>
      <c r="AD35" s="4"/>
      <c r="AE35" s="4"/>
      <c r="AF35" s="4"/>
      <c r="AG35" s="4"/>
      <c r="AH35" s="4"/>
      <c r="AI35" s="4"/>
    </row>
    <row r="36" ht="24" customHeight="1" spans="1:35" s="4" customFormat="1" x14ac:dyDescent="0.25">
      <c r="A36" s="6">
        <v>32</v>
      </c>
      <c r="B36" s="6" t="s">
        <v>444</v>
      </c>
      <c r="C36" s="6" t="s">
        <v>445</v>
      </c>
      <c r="D36" s="6" t="s">
        <v>435</v>
      </c>
      <c r="E36" s="7" t="s">
        <v>446</v>
      </c>
      <c r="F36" s="7" t="s">
        <v>447</v>
      </c>
      <c r="G36" s="6" t="s">
        <v>279</v>
      </c>
      <c r="H36" s="6" t="s">
        <v>280</v>
      </c>
      <c r="I36" s="6" t="s">
        <v>448</v>
      </c>
      <c r="J36" s="6" t="s">
        <v>282</v>
      </c>
      <c r="K36" s="6" t="s">
        <v>282</v>
      </c>
      <c r="L36" s="6" t="s">
        <v>282</v>
      </c>
      <c r="M36" s="6" t="s">
        <v>282</v>
      </c>
      <c r="N36" s="6" t="s">
        <v>283</v>
      </c>
      <c r="O36" s="6" t="s">
        <v>284</v>
      </c>
      <c r="P36" s="6" t="s">
        <v>285</v>
      </c>
      <c r="Q36" s="6">
        <v>0</v>
      </c>
      <c r="R36" s="6">
        <v>0</v>
      </c>
      <c r="S36" s="6" t="s">
        <v>286</v>
      </c>
      <c r="T36" s="6" t="s">
        <v>287</v>
      </c>
      <c r="U36" s="7" t="s">
        <v>288</v>
      </c>
      <c r="V36" s="4"/>
      <c r="W36" s="4"/>
      <c r="X36" s="4"/>
      <c r="Y36" s="4"/>
      <c r="Z36" s="4"/>
      <c r="AA36" s="4"/>
      <c r="AB36" s="4"/>
      <c r="AC36" s="4"/>
      <c r="AD36" s="4"/>
      <c r="AE36" s="4"/>
      <c r="AF36" s="4"/>
      <c r="AG36" s="4"/>
      <c r="AH36" s="4"/>
      <c r="AI36" s="4"/>
    </row>
    <row r="37" ht="24" customHeight="1" spans="1:35" s="4" customFormat="1" x14ac:dyDescent="0.25">
      <c r="A37" s="4">
        <v>33</v>
      </c>
      <c r="B37" s="4" t="s">
        <v>449</v>
      </c>
      <c r="C37" s="4" t="s">
        <v>450</v>
      </c>
      <c r="D37" s="4" t="s">
        <v>451</v>
      </c>
      <c r="E37" s="5" t="s">
        <v>452</v>
      </c>
      <c r="F37" s="5" t="s">
        <v>453</v>
      </c>
      <c r="G37" s="4" t="s">
        <v>279</v>
      </c>
      <c r="H37" s="4" t="s">
        <v>280</v>
      </c>
      <c r="I37" s="4" t="s">
        <v>454</v>
      </c>
      <c r="J37" s="4" t="s">
        <v>282</v>
      </c>
      <c r="K37" s="4" t="s">
        <v>282</v>
      </c>
      <c r="L37" s="4" t="s">
        <v>282</v>
      </c>
      <c r="M37" s="4" t="s">
        <v>282</v>
      </c>
      <c r="N37" s="4" t="s">
        <v>283</v>
      </c>
      <c r="O37" s="4" t="s">
        <v>284</v>
      </c>
      <c r="P37" s="4" t="s">
        <v>285</v>
      </c>
      <c r="Q37" s="4">
        <v>0</v>
      </c>
      <c r="R37" s="4">
        <v>0</v>
      </c>
      <c r="S37" s="4" t="s">
        <v>286</v>
      </c>
      <c r="T37" s="4" t="s">
        <v>287</v>
      </c>
      <c r="U37" s="5" t="s">
        <v>288</v>
      </c>
      <c r="V37" s="4"/>
      <c r="W37" s="4"/>
      <c r="X37" s="4"/>
      <c r="Y37" s="4"/>
      <c r="Z37" s="4"/>
      <c r="AA37" s="4"/>
      <c r="AB37" s="4"/>
      <c r="AC37" s="4"/>
      <c r="AD37" s="4"/>
      <c r="AE37" s="4"/>
      <c r="AF37" s="4"/>
      <c r="AG37" s="4"/>
      <c r="AH37" s="4"/>
      <c r="AI37" s="4"/>
    </row>
    <row r="38" ht="24" customHeight="1" spans="1:35" s="4" customFormat="1" x14ac:dyDescent="0.25">
      <c r="A38" s="6">
        <v>34</v>
      </c>
      <c r="B38" s="6" t="s">
        <v>455</v>
      </c>
      <c r="C38" s="6" t="s">
        <v>456</v>
      </c>
      <c r="D38" s="6" t="s">
        <v>451</v>
      </c>
      <c r="E38" s="7" t="s">
        <v>457</v>
      </c>
      <c r="F38" s="7" t="s">
        <v>458</v>
      </c>
      <c r="G38" s="6" t="s">
        <v>279</v>
      </c>
      <c r="H38" s="6" t="s">
        <v>280</v>
      </c>
      <c r="I38" s="6" t="s">
        <v>459</v>
      </c>
      <c r="J38" s="6" t="s">
        <v>282</v>
      </c>
      <c r="K38" s="6" t="s">
        <v>282</v>
      </c>
      <c r="L38" s="6" t="s">
        <v>282</v>
      </c>
      <c r="M38" s="6" t="s">
        <v>282</v>
      </c>
      <c r="N38" s="6" t="s">
        <v>283</v>
      </c>
      <c r="O38" s="6" t="s">
        <v>284</v>
      </c>
      <c r="P38" s="6" t="s">
        <v>285</v>
      </c>
      <c r="Q38" s="6">
        <v>0</v>
      </c>
      <c r="R38" s="6">
        <v>0</v>
      </c>
      <c r="S38" s="6" t="s">
        <v>286</v>
      </c>
      <c r="T38" s="6" t="s">
        <v>287</v>
      </c>
      <c r="U38" s="7" t="s">
        <v>288</v>
      </c>
      <c r="V38" s="4"/>
      <c r="W38" s="4"/>
      <c r="X38" s="4"/>
      <c r="Y38" s="4"/>
      <c r="Z38" s="4"/>
      <c r="AA38" s="4"/>
      <c r="AB38" s="4"/>
      <c r="AC38" s="4"/>
      <c r="AD38" s="4"/>
      <c r="AE38" s="4"/>
      <c r="AF38" s="4"/>
      <c r="AG38" s="4"/>
      <c r="AH38" s="4"/>
      <c r="AI38" s="4"/>
    </row>
    <row r="39" ht="24" customHeight="1" spans="1:35" s="4" customFormat="1" x14ac:dyDescent="0.25">
      <c r="A39" s="4">
        <v>35</v>
      </c>
      <c r="B39" s="4" t="s">
        <v>460</v>
      </c>
      <c r="C39" s="4" t="s">
        <v>461</v>
      </c>
      <c r="D39" s="4" t="s">
        <v>462</v>
      </c>
      <c r="E39" s="5" t="s">
        <v>463</v>
      </c>
      <c r="F39" s="5" t="s">
        <v>464</v>
      </c>
      <c r="G39" s="4" t="s">
        <v>279</v>
      </c>
      <c r="H39" s="4" t="s">
        <v>280</v>
      </c>
      <c r="I39" s="4" t="s">
        <v>465</v>
      </c>
      <c r="J39" s="4" t="s">
        <v>282</v>
      </c>
      <c r="K39" s="4" t="s">
        <v>282</v>
      </c>
      <c r="L39" s="4" t="s">
        <v>282</v>
      </c>
      <c r="M39" s="4" t="s">
        <v>282</v>
      </c>
      <c r="N39" s="4" t="s">
        <v>283</v>
      </c>
      <c r="O39" s="4" t="s">
        <v>284</v>
      </c>
      <c r="P39" s="4" t="s">
        <v>285</v>
      </c>
      <c r="Q39" s="4">
        <v>0</v>
      </c>
      <c r="R39" s="4">
        <v>0</v>
      </c>
      <c r="S39" s="4" t="s">
        <v>286</v>
      </c>
      <c r="T39" s="4" t="s">
        <v>287</v>
      </c>
      <c r="U39" s="5" t="s">
        <v>288</v>
      </c>
      <c r="V39" s="4"/>
      <c r="W39" s="4"/>
      <c r="X39" s="4"/>
      <c r="Y39" s="4"/>
      <c r="Z39" s="4"/>
      <c r="AA39" s="4"/>
      <c r="AB39" s="4"/>
      <c r="AC39" s="4"/>
      <c r="AD39" s="4"/>
      <c r="AE39" s="4"/>
      <c r="AF39" s="4"/>
      <c r="AG39" s="4"/>
      <c r="AH39" s="4"/>
      <c r="AI39" s="4"/>
    </row>
    <row r="40" ht="24" customHeight="1" spans="1:35" s="4" customFormat="1" x14ac:dyDescent="0.25">
      <c r="A40" s="6">
        <v>36</v>
      </c>
      <c r="B40" s="6" t="s">
        <v>466</v>
      </c>
      <c r="C40" s="6" t="s">
        <v>467</v>
      </c>
      <c r="D40" s="6" t="s">
        <v>462</v>
      </c>
      <c r="E40" s="7" t="s">
        <v>468</v>
      </c>
      <c r="F40" s="7" t="s">
        <v>469</v>
      </c>
      <c r="G40" s="6" t="s">
        <v>279</v>
      </c>
      <c r="H40" s="6" t="s">
        <v>280</v>
      </c>
      <c r="I40" s="6" t="s">
        <v>470</v>
      </c>
      <c r="J40" s="6" t="s">
        <v>282</v>
      </c>
      <c r="K40" s="6" t="s">
        <v>282</v>
      </c>
      <c r="L40" s="6" t="s">
        <v>282</v>
      </c>
      <c r="M40" s="6" t="s">
        <v>282</v>
      </c>
      <c r="N40" s="6" t="s">
        <v>283</v>
      </c>
      <c r="O40" s="6" t="s">
        <v>284</v>
      </c>
      <c r="P40" s="6" t="s">
        <v>285</v>
      </c>
      <c r="Q40" s="6">
        <v>0</v>
      </c>
      <c r="R40" s="6">
        <v>0</v>
      </c>
      <c r="S40" s="6" t="s">
        <v>286</v>
      </c>
      <c r="T40" s="6" t="s">
        <v>287</v>
      </c>
      <c r="U40" s="7" t="s">
        <v>288</v>
      </c>
      <c r="V40" s="4"/>
      <c r="W40" s="4"/>
      <c r="X40" s="4"/>
      <c r="Y40" s="4"/>
      <c r="Z40" s="4"/>
      <c r="AA40" s="4"/>
      <c r="AB40" s="4"/>
      <c r="AC40" s="4"/>
      <c r="AD40" s="4"/>
      <c r="AE40" s="4"/>
      <c r="AF40" s="4"/>
      <c r="AG40" s="4"/>
      <c r="AH40" s="4"/>
      <c r="AI40" s="4"/>
    </row>
    <row r="41" ht="24" customHeight="1" spans="1:35" s="4" customFormat="1" x14ac:dyDescent="0.25">
      <c r="A41" s="4">
        <v>37</v>
      </c>
      <c r="B41" s="4" t="s">
        <v>471</v>
      </c>
      <c r="C41" s="4" t="s">
        <v>472</v>
      </c>
      <c r="D41" s="4" t="s">
        <v>473</v>
      </c>
      <c r="E41" s="5" t="s">
        <v>474</v>
      </c>
      <c r="F41" s="5" t="s">
        <v>475</v>
      </c>
      <c r="G41" s="4" t="s">
        <v>279</v>
      </c>
      <c r="H41" s="4" t="s">
        <v>280</v>
      </c>
      <c r="I41" s="4" t="s">
        <v>476</v>
      </c>
      <c r="J41" s="4" t="s">
        <v>282</v>
      </c>
      <c r="K41" s="4" t="s">
        <v>282</v>
      </c>
      <c r="L41" s="4" t="s">
        <v>282</v>
      </c>
      <c r="M41" s="4" t="s">
        <v>282</v>
      </c>
      <c r="N41" s="4" t="s">
        <v>283</v>
      </c>
      <c r="O41" s="4" t="s">
        <v>284</v>
      </c>
      <c r="P41" s="4" t="s">
        <v>285</v>
      </c>
      <c r="Q41" s="4">
        <v>0</v>
      </c>
      <c r="R41" s="4">
        <v>0</v>
      </c>
      <c r="S41" s="4" t="s">
        <v>286</v>
      </c>
      <c r="T41" s="4" t="s">
        <v>287</v>
      </c>
      <c r="U41" s="5" t="s">
        <v>288</v>
      </c>
      <c r="V41" s="4"/>
      <c r="W41" s="4"/>
      <c r="X41" s="4"/>
      <c r="Y41" s="4"/>
      <c r="Z41" s="4"/>
      <c r="AA41" s="4"/>
      <c r="AB41" s="4"/>
      <c r="AC41" s="4"/>
      <c r="AD41" s="4"/>
      <c r="AE41" s="4"/>
      <c r="AF41" s="4"/>
      <c r="AG41" s="4"/>
      <c r="AH41" s="4"/>
      <c r="AI41" s="4"/>
    </row>
    <row r="42" ht="24" customHeight="1" spans="1:35" s="4" customFormat="1" x14ac:dyDescent="0.25">
      <c r="A42" s="6">
        <v>38</v>
      </c>
      <c r="B42" s="6" t="s">
        <v>477</v>
      </c>
      <c r="C42" s="6" t="s">
        <v>478</v>
      </c>
      <c r="D42" s="6" t="s">
        <v>473</v>
      </c>
      <c r="E42" s="7" t="s">
        <v>479</v>
      </c>
      <c r="F42" s="7" t="s">
        <v>480</v>
      </c>
      <c r="G42" s="6" t="s">
        <v>279</v>
      </c>
      <c r="H42" s="6" t="s">
        <v>280</v>
      </c>
      <c r="I42" s="6" t="s">
        <v>481</v>
      </c>
      <c r="J42" s="6" t="s">
        <v>282</v>
      </c>
      <c r="K42" s="6" t="s">
        <v>282</v>
      </c>
      <c r="L42" s="6" t="s">
        <v>282</v>
      </c>
      <c r="M42" s="6" t="s">
        <v>282</v>
      </c>
      <c r="N42" s="6" t="s">
        <v>283</v>
      </c>
      <c r="O42" s="6" t="s">
        <v>284</v>
      </c>
      <c r="P42" s="6" t="s">
        <v>285</v>
      </c>
      <c r="Q42" s="6">
        <v>0</v>
      </c>
      <c r="R42" s="6">
        <v>0</v>
      </c>
      <c r="S42" s="6" t="s">
        <v>286</v>
      </c>
      <c r="T42" s="6" t="s">
        <v>287</v>
      </c>
      <c r="U42" s="7" t="s">
        <v>288</v>
      </c>
      <c r="V42" s="4"/>
      <c r="W42" s="4"/>
      <c r="X42" s="4"/>
      <c r="Y42" s="4"/>
      <c r="Z42" s="4"/>
      <c r="AA42" s="4"/>
      <c r="AB42" s="4"/>
      <c r="AC42" s="4"/>
      <c r="AD42" s="4"/>
      <c r="AE42" s="4"/>
      <c r="AF42" s="4"/>
      <c r="AG42" s="4"/>
      <c r="AH42" s="4"/>
      <c r="AI42" s="4"/>
    </row>
    <row r="43" ht="24" customHeight="1" spans="1:35" s="4" customFormat="1" x14ac:dyDescent="0.25">
      <c r="A43" s="4">
        <v>39</v>
      </c>
      <c r="B43" s="4" t="s">
        <v>482</v>
      </c>
      <c r="C43" s="4" t="s">
        <v>483</v>
      </c>
      <c r="D43" s="4" t="s">
        <v>276</v>
      </c>
      <c r="E43" s="5" t="s">
        <v>484</v>
      </c>
      <c r="F43" s="5" t="s">
        <v>485</v>
      </c>
      <c r="G43" s="4" t="s">
        <v>279</v>
      </c>
      <c r="H43" s="4" t="s">
        <v>280</v>
      </c>
      <c r="I43" s="4" t="s">
        <v>486</v>
      </c>
      <c r="J43" s="4" t="s">
        <v>282</v>
      </c>
      <c r="K43" s="4" t="s">
        <v>282</v>
      </c>
      <c r="L43" s="4" t="s">
        <v>282</v>
      </c>
      <c r="M43" s="4" t="s">
        <v>282</v>
      </c>
      <c r="N43" s="4" t="s">
        <v>283</v>
      </c>
      <c r="O43" s="4" t="s">
        <v>284</v>
      </c>
      <c r="P43" s="4" t="s">
        <v>285</v>
      </c>
      <c r="Q43" s="4">
        <v>0</v>
      </c>
      <c r="R43" s="4">
        <v>0</v>
      </c>
      <c r="S43" s="4" t="s">
        <v>286</v>
      </c>
      <c r="T43" s="4" t="s">
        <v>287</v>
      </c>
      <c r="U43" s="5" t="s">
        <v>288</v>
      </c>
      <c r="V43" s="4"/>
      <c r="W43" s="4"/>
      <c r="X43" s="4"/>
      <c r="Y43" s="4"/>
      <c r="Z43" s="4"/>
      <c r="AA43" s="4"/>
      <c r="AB43" s="4"/>
      <c r="AC43" s="4"/>
      <c r="AD43" s="4"/>
      <c r="AE43" s="4"/>
      <c r="AF43" s="4"/>
      <c r="AG43" s="4"/>
      <c r="AH43" s="4"/>
      <c r="AI43" s="4"/>
    </row>
    <row r="44" ht="24" customHeight="1" spans="1:35" s="4" customFormat="1" x14ac:dyDescent="0.25">
      <c r="A44" s="6">
        <v>40</v>
      </c>
      <c r="B44" s="6" t="s">
        <v>487</v>
      </c>
      <c r="C44" s="6" t="s">
        <v>488</v>
      </c>
      <c r="D44" s="6" t="s">
        <v>352</v>
      </c>
      <c r="E44" s="7" t="s">
        <v>489</v>
      </c>
      <c r="F44" s="7" t="s">
        <v>490</v>
      </c>
      <c r="G44" s="6" t="s">
        <v>279</v>
      </c>
      <c r="H44" s="6" t="s">
        <v>280</v>
      </c>
      <c r="I44" s="6" t="s">
        <v>491</v>
      </c>
      <c r="J44" s="6" t="s">
        <v>282</v>
      </c>
      <c r="K44" s="6" t="s">
        <v>282</v>
      </c>
      <c r="L44" s="6" t="s">
        <v>282</v>
      </c>
      <c r="M44" s="6" t="s">
        <v>282</v>
      </c>
      <c r="N44" s="6" t="s">
        <v>283</v>
      </c>
      <c r="O44" s="6" t="s">
        <v>284</v>
      </c>
      <c r="P44" s="6" t="s">
        <v>285</v>
      </c>
      <c r="Q44" s="6">
        <v>0</v>
      </c>
      <c r="R44" s="6">
        <v>0</v>
      </c>
      <c r="S44" s="6" t="s">
        <v>286</v>
      </c>
      <c r="T44" s="6" t="s">
        <v>287</v>
      </c>
      <c r="U44" s="7" t="s">
        <v>288</v>
      </c>
      <c r="V44" s="4"/>
      <c r="W44" s="4"/>
      <c r="X44" s="4"/>
      <c r="Y44" s="4"/>
      <c r="Z44" s="4"/>
      <c r="AA44" s="4"/>
      <c r="AB44" s="4"/>
      <c r="AC44" s="4"/>
      <c r="AD44" s="4"/>
      <c r="AE44" s="4"/>
      <c r="AF44" s="4"/>
      <c r="AG44" s="4"/>
      <c r="AH44" s="4"/>
      <c r="AI44" s="4"/>
    </row>
    <row r="45" ht="24" customHeight="1" spans="1:35" s="4" customFormat="1" x14ac:dyDescent="0.25">
      <c r="A45" s="4">
        <v>41</v>
      </c>
      <c r="B45" s="4" t="s">
        <v>492</v>
      </c>
      <c r="C45" s="4" t="s">
        <v>493</v>
      </c>
      <c r="D45" s="4" t="s">
        <v>352</v>
      </c>
      <c r="E45" s="5" t="s">
        <v>494</v>
      </c>
      <c r="F45" s="5" t="s">
        <v>495</v>
      </c>
      <c r="G45" s="4" t="s">
        <v>279</v>
      </c>
      <c r="H45" s="4" t="s">
        <v>280</v>
      </c>
      <c r="I45" s="4" t="s">
        <v>496</v>
      </c>
      <c r="J45" s="4" t="s">
        <v>282</v>
      </c>
      <c r="K45" s="4" t="s">
        <v>282</v>
      </c>
      <c r="L45" s="4" t="s">
        <v>282</v>
      </c>
      <c r="M45" s="4" t="s">
        <v>282</v>
      </c>
      <c r="N45" s="4" t="s">
        <v>283</v>
      </c>
      <c r="O45" s="4" t="s">
        <v>284</v>
      </c>
      <c r="P45" s="4" t="s">
        <v>285</v>
      </c>
      <c r="Q45" s="4">
        <v>0</v>
      </c>
      <c r="R45" s="4">
        <v>0</v>
      </c>
      <c r="S45" s="4" t="s">
        <v>286</v>
      </c>
      <c r="T45" s="4" t="s">
        <v>287</v>
      </c>
      <c r="U45" s="5" t="s">
        <v>288</v>
      </c>
      <c r="V45" s="4"/>
      <c r="W45" s="4"/>
      <c r="X45" s="4"/>
      <c r="Y45" s="4"/>
      <c r="Z45" s="4"/>
      <c r="AA45" s="4"/>
      <c r="AB45" s="4"/>
      <c r="AC45" s="4"/>
      <c r="AD45" s="4"/>
      <c r="AE45" s="4"/>
      <c r="AF45" s="4"/>
      <c r="AG45" s="4"/>
      <c r="AH45" s="4"/>
      <c r="AI45" s="4"/>
    </row>
    <row r="46" ht="24" customHeight="1" spans="1:35" s="4" customFormat="1" x14ac:dyDescent="0.25">
      <c r="A46" s="6">
        <v>42</v>
      </c>
      <c r="B46" s="6" t="s">
        <v>497</v>
      </c>
      <c r="C46" s="6" t="s">
        <v>498</v>
      </c>
      <c r="D46" s="6" t="s">
        <v>352</v>
      </c>
      <c r="E46" s="7" t="s">
        <v>499</v>
      </c>
      <c r="F46" s="7" t="s">
        <v>500</v>
      </c>
      <c r="G46" s="6" t="s">
        <v>279</v>
      </c>
      <c r="H46" s="6" t="s">
        <v>280</v>
      </c>
      <c r="I46" s="6" t="s">
        <v>501</v>
      </c>
      <c r="J46" s="6" t="s">
        <v>282</v>
      </c>
      <c r="K46" s="6" t="s">
        <v>282</v>
      </c>
      <c r="L46" s="6" t="s">
        <v>282</v>
      </c>
      <c r="M46" s="6" t="s">
        <v>282</v>
      </c>
      <c r="N46" s="6" t="s">
        <v>283</v>
      </c>
      <c r="O46" s="6" t="s">
        <v>284</v>
      </c>
      <c r="P46" s="6" t="s">
        <v>285</v>
      </c>
      <c r="Q46" s="6">
        <v>0</v>
      </c>
      <c r="R46" s="6">
        <v>0</v>
      </c>
      <c r="S46" s="6" t="s">
        <v>286</v>
      </c>
      <c r="T46" s="6" t="s">
        <v>287</v>
      </c>
      <c r="U46" s="7" t="s">
        <v>288</v>
      </c>
      <c r="V46" s="4"/>
      <c r="W46" s="4"/>
      <c r="X46" s="4"/>
      <c r="Y46" s="4"/>
      <c r="Z46" s="4"/>
      <c r="AA46" s="4"/>
      <c r="AB46" s="4"/>
      <c r="AC46" s="4"/>
      <c r="AD46" s="4"/>
      <c r="AE46" s="4"/>
      <c r="AF46" s="4"/>
      <c r="AG46" s="4"/>
      <c r="AH46" s="4"/>
      <c r="AI46" s="4"/>
    </row>
    <row r="47" ht="24" customHeight="1" spans="1:35" s="4" customFormat="1" x14ac:dyDescent="0.25">
      <c r="A47" s="4">
        <v>43</v>
      </c>
      <c r="B47" s="4" t="s">
        <v>502</v>
      </c>
      <c r="C47" s="4" t="s">
        <v>503</v>
      </c>
      <c r="D47" s="4" t="s">
        <v>451</v>
      </c>
      <c r="E47" s="5" t="s">
        <v>504</v>
      </c>
      <c r="F47" s="5" t="s">
        <v>505</v>
      </c>
      <c r="G47" s="4" t="s">
        <v>279</v>
      </c>
      <c r="H47" s="4" t="s">
        <v>280</v>
      </c>
      <c r="I47" s="4" t="s">
        <v>506</v>
      </c>
      <c r="J47" s="4" t="s">
        <v>282</v>
      </c>
      <c r="K47" s="4" t="s">
        <v>282</v>
      </c>
      <c r="L47" s="4" t="s">
        <v>282</v>
      </c>
      <c r="M47" s="4" t="s">
        <v>282</v>
      </c>
      <c r="N47" s="4" t="s">
        <v>283</v>
      </c>
      <c r="O47" s="4" t="s">
        <v>284</v>
      </c>
      <c r="P47" s="4" t="s">
        <v>285</v>
      </c>
      <c r="Q47" s="4">
        <v>0</v>
      </c>
      <c r="R47" s="4">
        <v>0</v>
      </c>
      <c r="S47" s="4" t="s">
        <v>286</v>
      </c>
      <c r="T47" s="4" t="s">
        <v>287</v>
      </c>
      <c r="U47" s="5" t="s">
        <v>288</v>
      </c>
      <c r="V47" s="4"/>
      <c r="W47" s="4"/>
      <c r="X47" s="4"/>
      <c r="Y47" s="4"/>
      <c r="Z47" s="4"/>
      <c r="AA47" s="4"/>
      <c r="AB47" s="4"/>
      <c r="AC47" s="4"/>
      <c r="AD47" s="4"/>
      <c r="AE47" s="4"/>
      <c r="AF47" s="4"/>
      <c r="AG47" s="4"/>
      <c r="AH47" s="4"/>
      <c r="AI47" s="4"/>
    </row>
    <row r="48" ht="24" customHeight="1" spans="1:35" s="4" customFormat="1" x14ac:dyDescent="0.25">
      <c r="A48" s="6">
        <v>44</v>
      </c>
      <c r="B48" s="6" t="s">
        <v>507</v>
      </c>
      <c r="C48" s="6" t="s">
        <v>508</v>
      </c>
      <c r="D48" s="6" t="s">
        <v>462</v>
      </c>
      <c r="E48" s="7" t="s">
        <v>509</v>
      </c>
      <c r="F48" s="7" t="s">
        <v>510</v>
      </c>
      <c r="G48" s="6" t="s">
        <v>279</v>
      </c>
      <c r="H48" s="6" t="s">
        <v>280</v>
      </c>
      <c r="I48" s="6" t="s">
        <v>511</v>
      </c>
      <c r="J48" s="6" t="s">
        <v>282</v>
      </c>
      <c r="K48" s="6" t="s">
        <v>282</v>
      </c>
      <c r="L48" s="6" t="s">
        <v>282</v>
      </c>
      <c r="M48" s="6" t="s">
        <v>282</v>
      </c>
      <c r="N48" s="6" t="s">
        <v>283</v>
      </c>
      <c r="O48" s="6" t="s">
        <v>284</v>
      </c>
      <c r="P48" s="6" t="s">
        <v>285</v>
      </c>
      <c r="Q48" s="6">
        <v>0</v>
      </c>
      <c r="R48" s="6">
        <v>0</v>
      </c>
      <c r="S48" s="6" t="s">
        <v>286</v>
      </c>
      <c r="T48" s="6" t="s">
        <v>287</v>
      </c>
      <c r="U48" s="7" t="s">
        <v>288</v>
      </c>
      <c r="V48" s="4"/>
      <c r="W48" s="4"/>
      <c r="X48" s="4"/>
      <c r="Y48" s="4"/>
      <c r="Z48" s="4"/>
      <c r="AA48" s="4"/>
      <c r="AB48" s="4"/>
      <c r="AC48" s="4"/>
      <c r="AD48" s="4"/>
      <c r="AE48" s="4"/>
      <c r="AF48" s="4"/>
      <c r="AG48" s="4"/>
      <c r="AH48" s="4"/>
      <c r="AI48" s="4"/>
    </row>
    <row r="49" ht="24" customHeight="1" spans="1:35" s="4" customFormat="1" x14ac:dyDescent="0.25">
      <c r="A49" s="4">
        <v>45</v>
      </c>
      <c r="B49" s="4" t="s">
        <v>512</v>
      </c>
      <c r="C49" s="4" t="s">
        <v>513</v>
      </c>
      <c r="D49" s="4" t="s">
        <v>352</v>
      </c>
      <c r="E49" s="5" t="s">
        <v>514</v>
      </c>
      <c r="F49" s="5" t="s">
        <v>515</v>
      </c>
      <c r="G49" s="4" t="s">
        <v>279</v>
      </c>
      <c r="H49" s="4" t="s">
        <v>280</v>
      </c>
      <c r="I49" s="4" t="s">
        <v>516</v>
      </c>
      <c r="J49" s="4" t="s">
        <v>282</v>
      </c>
      <c r="K49" s="4" t="s">
        <v>282</v>
      </c>
      <c r="L49" s="4" t="s">
        <v>282</v>
      </c>
      <c r="M49" s="4" t="s">
        <v>282</v>
      </c>
      <c r="N49" s="4" t="s">
        <v>283</v>
      </c>
      <c r="O49" s="4" t="s">
        <v>284</v>
      </c>
      <c r="P49" s="4" t="s">
        <v>285</v>
      </c>
      <c r="Q49" s="4">
        <v>0</v>
      </c>
      <c r="R49" s="4">
        <v>0</v>
      </c>
      <c r="S49" s="4" t="s">
        <v>286</v>
      </c>
      <c r="T49" s="4" t="s">
        <v>287</v>
      </c>
      <c r="U49" s="5" t="s">
        <v>288</v>
      </c>
      <c r="V49" s="4"/>
      <c r="W49" s="4"/>
      <c r="X49" s="4"/>
      <c r="Y49" s="4"/>
      <c r="Z49" s="4"/>
      <c r="AA49" s="4"/>
      <c r="AB49" s="4"/>
      <c r="AC49" s="4"/>
      <c r="AD49" s="4"/>
      <c r="AE49" s="4"/>
      <c r="AF49" s="4"/>
      <c r="AG49" s="4"/>
      <c r="AH49" s="4"/>
      <c r="AI49" s="4"/>
    </row>
    <row r="50" ht="24" customHeight="1" spans="1:35" s="4" customFormat="1" x14ac:dyDescent="0.25">
      <c r="A50" s="6">
        <v>46</v>
      </c>
      <c r="B50" s="6" t="s">
        <v>517</v>
      </c>
      <c r="C50" s="6" t="s">
        <v>518</v>
      </c>
      <c r="D50" s="6" t="s">
        <v>352</v>
      </c>
      <c r="E50" s="7" t="s">
        <v>519</v>
      </c>
      <c r="F50" s="7" t="s">
        <v>520</v>
      </c>
      <c r="G50" s="6" t="s">
        <v>279</v>
      </c>
      <c r="H50" s="6" t="s">
        <v>280</v>
      </c>
      <c r="I50" s="6" t="s">
        <v>521</v>
      </c>
      <c r="J50" s="6" t="s">
        <v>282</v>
      </c>
      <c r="K50" s="6" t="s">
        <v>282</v>
      </c>
      <c r="L50" s="6" t="s">
        <v>282</v>
      </c>
      <c r="M50" s="6" t="s">
        <v>282</v>
      </c>
      <c r="N50" s="6" t="s">
        <v>283</v>
      </c>
      <c r="O50" s="6" t="s">
        <v>284</v>
      </c>
      <c r="P50" s="6" t="s">
        <v>285</v>
      </c>
      <c r="Q50" s="6">
        <v>0</v>
      </c>
      <c r="R50" s="6">
        <v>0</v>
      </c>
      <c r="S50" s="6" t="s">
        <v>286</v>
      </c>
      <c r="T50" s="6" t="s">
        <v>287</v>
      </c>
      <c r="U50" s="7" t="s">
        <v>288</v>
      </c>
      <c r="V50" s="4"/>
      <c r="W50" s="4"/>
      <c r="X50" s="4"/>
      <c r="Y50" s="4"/>
      <c r="Z50" s="4"/>
      <c r="AA50" s="4"/>
      <c r="AB50" s="4"/>
      <c r="AC50" s="4"/>
      <c r="AD50" s="4"/>
      <c r="AE50" s="4"/>
      <c r="AF50" s="4"/>
      <c r="AG50" s="4"/>
      <c r="AH50" s="4"/>
      <c r="AI50" s="4"/>
    </row>
    <row r="51" ht="24" customHeight="1" spans="1:35" s="4" customFormat="1" x14ac:dyDescent="0.25">
      <c r="A51" s="4">
        <v>47</v>
      </c>
      <c r="B51" s="4" t="s">
        <v>522</v>
      </c>
      <c r="C51" s="4" t="s">
        <v>523</v>
      </c>
      <c r="D51" s="4" t="s">
        <v>276</v>
      </c>
      <c r="E51" s="5" t="s">
        <v>524</v>
      </c>
      <c r="F51" s="5" t="s">
        <v>525</v>
      </c>
      <c r="G51" s="4" t="s">
        <v>279</v>
      </c>
      <c r="H51" s="4" t="s">
        <v>280</v>
      </c>
      <c r="I51" s="4" t="s">
        <v>526</v>
      </c>
      <c r="J51" s="4" t="s">
        <v>282</v>
      </c>
      <c r="K51" s="4" t="s">
        <v>282</v>
      </c>
      <c r="L51" s="4" t="s">
        <v>282</v>
      </c>
      <c r="M51" s="4" t="s">
        <v>282</v>
      </c>
      <c r="N51" s="4" t="s">
        <v>283</v>
      </c>
      <c r="O51" s="4" t="s">
        <v>284</v>
      </c>
      <c r="P51" s="4" t="s">
        <v>285</v>
      </c>
      <c r="Q51" s="4">
        <v>0</v>
      </c>
      <c r="R51" s="4">
        <v>0</v>
      </c>
      <c r="S51" s="4" t="s">
        <v>286</v>
      </c>
      <c r="T51" s="4" t="s">
        <v>287</v>
      </c>
      <c r="U51" s="5" t="s">
        <v>288</v>
      </c>
      <c r="V51" s="4"/>
      <c r="W51" s="4"/>
      <c r="X51" s="4"/>
      <c r="Y51" s="4"/>
      <c r="Z51" s="4"/>
      <c r="AA51" s="4"/>
      <c r="AB51" s="4"/>
      <c r="AC51" s="4"/>
      <c r="AD51" s="4"/>
      <c r="AE51" s="4"/>
      <c r="AF51" s="4"/>
      <c r="AG51" s="4"/>
      <c r="AH51" s="4"/>
      <c r="AI51" s="4"/>
    </row>
  </sheetData>
  <hyperlinks>
    <hyperlink ref="A1" r:id="rId1" location="#'P-00 INDEX'!A1"/>
    <hyperlink ref="E5" r:id="rId2"/>
    <hyperlink ref="F5" r:id="rId3"/>
    <hyperlink ref="U5" r:id="rId4" location="#'C-Reviews'!A5"/>
    <hyperlink ref="E6" r:id="rId5"/>
    <hyperlink ref="F6" r:id="rId6"/>
    <hyperlink ref="U6" r:id="rId7" location="#'C-Reviews'!A6"/>
    <hyperlink ref="E7" r:id="rId8"/>
    <hyperlink ref="F7" r:id="rId9"/>
    <hyperlink ref="U7" r:id="rId10" location="#'C-Reviews'!A7"/>
    <hyperlink ref="E8" r:id="rId11"/>
    <hyperlink ref="F8" r:id="rId12"/>
    <hyperlink ref="U8" r:id="rId13" location="#'C-Reviews'!A8"/>
    <hyperlink ref="E9" r:id="rId14"/>
    <hyperlink ref="F9" r:id="rId15"/>
    <hyperlink ref="U9" r:id="rId16" location="#'C-Reviews'!A9"/>
    <hyperlink ref="E10" r:id="rId17"/>
    <hyperlink ref="F10" r:id="rId18"/>
    <hyperlink ref="U10" r:id="rId19" location="#'C-Reviews'!A10"/>
    <hyperlink ref="E11" r:id="rId20"/>
    <hyperlink ref="F11" r:id="rId21"/>
    <hyperlink ref="U11" r:id="rId22" location="#'C-Reviews'!A11"/>
    <hyperlink ref="E12" r:id="rId23"/>
    <hyperlink ref="F12" r:id="rId24"/>
    <hyperlink ref="U12" r:id="rId25" location="#'C-Reviews'!A12"/>
    <hyperlink ref="E13" r:id="rId26"/>
    <hyperlink ref="F13" r:id="rId27"/>
    <hyperlink ref="U13" r:id="rId28" location="#'C-Reviews'!A13"/>
    <hyperlink ref="E14" r:id="rId29"/>
    <hyperlink ref="F14" r:id="rId30"/>
    <hyperlink ref="U14" r:id="rId31" location="#'C-Reviews'!A14"/>
    <hyperlink ref="E15" r:id="rId32"/>
    <hyperlink ref="F15" r:id="rId33"/>
    <hyperlink ref="U15" r:id="rId34" location="#'C-Reviews'!A15"/>
    <hyperlink ref="E16" r:id="rId35"/>
    <hyperlink ref="F16" r:id="rId36"/>
    <hyperlink ref="U16" r:id="rId37" location="#'C-Reviews'!A16"/>
    <hyperlink ref="E17" r:id="rId38"/>
    <hyperlink ref="F17" r:id="rId39"/>
    <hyperlink ref="U17" r:id="rId40" location="#'C-Reviews'!A17"/>
    <hyperlink ref="E18" r:id="rId41"/>
    <hyperlink ref="F18" r:id="rId42"/>
    <hyperlink ref="U18" r:id="rId43" location="#'C-Reviews'!A18"/>
    <hyperlink ref="E19" r:id="rId44"/>
    <hyperlink ref="F19" r:id="rId45"/>
    <hyperlink ref="U19" r:id="rId46" location="#'C-Reviews'!A19"/>
    <hyperlink ref="E20" r:id="rId47"/>
    <hyperlink ref="F20" r:id="rId48"/>
    <hyperlink ref="U20" r:id="rId49" location="#'C-Reviews'!A20"/>
    <hyperlink ref="E21" r:id="rId50"/>
    <hyperlink ref="F21" r:id="rId51"/>
    <hyperlink ref="U21" r:id="rId52" location="#'C-Reviews'!A21"/>
    <hyperlink ref="E22" r:id="rId53"/>
    <hyperlink ref="F22" r:id="rId54"/>
    <hyperlink ref="U22" r:id="rId55" location="#'C-Reviews'!A22"/>
    <hyperlink ref="E23" r:id="rId56"/>
    <hyperlink ref="F23" r:id="rId57"/>
    <hyperlink ref="U23" r:id="rId58" location="#'C-Reviews'!A23"/>
    <hyperlink ref="E24" r:id="rId59"/>
    <hyperlink ref="F24" r:id="rId60"/>
    <hyperlink ref="U24" r:id="rId61" location="#'C-Reviews'!A24"/>
    <hyperlink ref="E25" r:id="rId62"/>
    <hyperlink ref="F25" r:id="rId63"/>
    <hyperlink ref="U25" r:id="rId64" location="#'C-Reviews'!A25"/>
    <hyperlink ref="E26" r:id="rId65"/>
    <hyperlink ref="F26" r:id="rId66"/>
    <hyperlink ref="U26" r:id="rId67" location="#'C-Reviews'!A26"/>
    <hyperlink ref="E27" r:id="rId68"/>
    <hyperlink ref="F27" r:id="rId69"/>
    <hyperlink ref="U27" r:id="rId70" location="#'C-Reviews'!A27"/>
    <hyperlink ref="E28" r:id="rId71"/>
    <hyperlink ref="F28" r:id="rId72"/>
    <hyperlink ref="U28" r:id="rId73" location="#'C-Reviews'!A28"/>
    <hyperlink ref="E29" r:id="rId74"/>
    <hyperlink ref="F29" r:id="rId75"/>
    <hyperlink ref="U29" r:id="rId76" location="#'C-Reviews'!A29"/>
    <hyperlink ref="E30" r:id="rId77"/>
    <hyperlink ref="F30" r:id="rId78"/>
    <hyperlink ref="U30" r:id="rId79" location="#'C-Reviews'!A30"/>
    <hyperlink ref="E31" r:id="rId80"/>
    <hyperlink ref="F31" r:id="rId81"/>
    <hyperlink ref="U31" r:id="rId82" location="#'C-Reviews'!A31"/>
    <hyperlink ref="E32" r:id="rId83"/>
    <hyperlink ref="F32" r:id="rId84"/>
    <hyperlink ref="U32" r:id="rId85" location="#'C-Reviews'!A32"/>
    <hyperlink ref="E33" r:id="rId86"/>
    <hyperlink ref="F33" r:id="rId87"/>
    <hyperlink ref="U33" r:id="rId88" location="#'C-Reviews'!A33"/>
    <hyperlink ref="E34" r:id="rId89"/>
    <hyperlink ref="F34" r:id="rId90"/>
    <hyperlink ref="U34" r:id="rId91" location="#'C-Reviews'!A34"/>
    <hyperlink ref="E35" r:id="rId92"/>
    <hyperlink ref="F35" r:id="rId93"/>
    <hyperlink ref="U35" r:id="rId94" location="#'C-Reviews'!A35"/>
    <hyperlink ref="E36" r:id="rId95"/>
    <hyperlink ref="F36" r:id="rId96"/>
    <hyperlink ref="U36" r:id="rId97" location="#'C-Reviews'!A36"/>
    <hyperlink ref="E37" r:id="rId98"/>
    <hyperlink ref="F37" r:id="rId99"/>
    <hyperlink ref="U37" r:id="rId100" location="#'C-Reviews'!A37"/>
    <hyperlink ref="E38" r:id="rId101"/>
    <hyperlink ref="F38" r:id="rId102"/>
    <hyperlink ref="U38" r:id="rId103" location="#'C-Reviews'!A38"/>
    <hyperlink ref="E39" r:id="rId104"/>
    <hyperlink ref="F39" r:id="rId105"/>
    <hyperlink ref="U39" r:id="rId106" location="#'C-Reviews'!A39"/>
    <hyperlink ref="E40" r:id="rId107"/>
    <hyperlink ref="F40" r:id="rId108"/>
    <hyperlink ref="U40" r:id="rId109" location="#'C-Reviews'!A40"/>
    <hyperlink ref="E41" r:id="rId110"/>
    <hyperlink ref="F41" r:id="rId111"/>
    <hyperlink ref="U41" r:id="rId112" location="#'C-Reviews'!A41"/>
    <hyperlink ref="E42" r:id="rId113"/>
    <hyperlink ref="F42" r:id="rId114"/>
    <hyperlink ref="U42" r:id="rId115" location="#'C-Reviews'!A42"/>
    <hyperlink ref="E43" r:id="rId116"/>
    <hyperlink ref="F43" r:id="rId117"/>
    <hyperlink ref="U43" r:id="rId118" location="#'C-Reviews'!A43"/>
    <hyperlink ref="E44" r:id="rId119"/>
    <hyperlink ref="F44" r:id="rId120"/>
    <hyperlink ref="U44" r:id="rId121" location="#'C-Reviews'!A44"/>
    <hyperlink ref="E45" r:id="rId122"/>
    <hyperlink ref="F45" r:id="rId123"/>
    <hyperlink ref="U45" r:id="rId124" location="#'C-Reviews'!A45"/>
    <hyperlink ref="E46" r:id="rId125"/>
    <hyperlink ref="F46" r:id="rId126"/>
    <hyperlink ref="U46" r:id="rId127" location="#'C-Reviews'!A46"/>
    <hyperlink ref="E47" r:id="rId128"/>
    <hyperlink ref="F47" r:id="rId129"/>
    <hyperlink ref="U47" r:id="rId130" location="#'C-Reviews'!A47"/>
    <hyperlink ref="E48" r:id="rId131"/>
    <hyperlink ref="F48" r:id="rId132"/>
    <hyperlink ref="U48" r:id="rId133" location="#'C-Reviews'!A48"/>
    <hyperlink ref="E49" r:id="rId134"/>
    <hyperlink ref="F49" r:id="rId135"/>
    <hyperlink ref="U49" r:id="rId136" location="#'C-Reviews'!A49"/>
    <hyperlink ref="E50" r:id="rId137"/>
    <hyperlink ref="F50" r:id="rId138"/>
    <hyperlink ref="U50" r:id="rId139" location="#'C-Reviews'!A50"/>
    <hyperlink ref="E51" r:id="rId140"/>
    <hyperlink ref="F51" r:id="rId141"/>
    <hyperlink ref="U51" r:id="rId142" location="#'C-Reviews'!A51"/>
  </hyperlink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3"/>
  <sheetViews>
    <sheetView workbookViewId="0"/>
  </sheetViews>
  <sheetFormatPr defaultRowHeight="15" outlineLevelRow="0" outlineLevelCol="0" x14ac:dyDescent="55"/>
  <cols>
    <col min="1" max="1" width="46" customWidth="1"/>
    <col min="2" max="2" width="15" customWidth="1"/>
    <col min="3" max="3" width="22" customWidth="1"/>
    <col min="4" max="4" width="15" customWidth="1"/>
    <col min="5" max="5" width="63" customWidth="1"/>
    <col min="6" max="7" width="15" customWidth="1"/>
    <col min="8" max="8" width="18" customWidth="1"/>
    <col min="9" max="10" width="15" customWidth="1"/>
    <col min="11" max="11" width="63" customWidth="1"/>
    <col min="12" max="12" width="19" customWidth="1"/>
    <col min="13" max="13" width="39" customWidth="1"/>
    <col min="14" max="14" width="46" customWidth="1"/>
    <col min="15" max="15" width="42" customWidth="1"/>
    <col min="16" max="16" width="63" customWidth="1"/>
    <col min="17" max="17" width="15" customWidth="1"/>
    <col min="18" max="18" width="44" customWidth="1"/>
    <col min="19" max="35" width="15" customWidth="1"/>
  </cols>
  <sheetData>
    <row r="1" ht="24" customHeight="1" spans="1:35" x14ac:dyDescent="0.25">
      <c r="A1" s="8" t="s">
        <v>117</v>
      </c>
    </row>
    <row r="2" spans="1:35" x14ac:dyDescent="0.25">
      <c r="A2" s="1" t="s">
        <v>527</v>
      </c>
    </row>
    <row r="4" ht="26" customHeight="1" spans="1:35" s="3" customFormat="1" x14ac:dyDescent="0.25">
      <c r="A4" s="3" t="s">
        <v>2</v>
      </c>
      <c r="B4" s="3" t="s">
        <v>528</v>
      </c>
      <c r="C4" s="3" t="s">
        <v>254</v>
      </c>
      <c r="D4" s="3" t="s">
        <v>529</v>
      </c>
      <c r="E4" s="3" t="s">
        <v>530</v>
      </c>
      <c r="F4" s="3" t="s">
        <v>531</v>
      </c>
      <c r="G4" s="3" t="s">
        <v>260</v>
      </c>
      <c r="H4" s="3" t="s">
        <v>532</v>
      </c>
      <c r="I4" s="3" t="s">
        <v>533</v>
      </c>
      <c r="J4" s="3" t="s">
        <v>534</v>
      </c>
      <c r="K4" s="3" t="s">
        <v>535</v>
      </c>
      <c r="L4" s="3" t="s">
        <v>536</v>
      </c>
      <c r="M4" s="3" t="s">
        <v>537</v>
      </c>
      <c r="N4" s="3" t="s">
        <v>538</v>
      </c>
      <c r="O4" s="3" t="s">
        <v>539</v>
      </c>
      <c r="P4" s="3" t="s">
        <v>540</v>
      </c>
      <c r="Q4" s="3" t="s">
        <v>541</v>
      </c>
      <c r="R4" s="3" t="s">
        <v>272</v>
      </c>
      <c r="S4" s="3"/>
      <c r="T4" s="3"/>
      <c r="U4" s="3"/>
      <c r="V4" s="3"/>
      <c r="W4" s="3"/>
      <c r="X4" s="3"/>
      <c r="Y4" s="3"/>
      <c r="Z4" s="3"/>
      <c r="AA4" s="3"/>
      <c r="AB4" s="3"/>
      <c r="AC4" s="3"/>
      <c r="AD4" s="3"/>
      <c r="AE4" s="3"/>
      <c r="AF4" s="3"/>
      <c r="AG4" s="3"/>
      <c r="AH4" s="3"/>
      <c r="AI4" s="3"/>
    </row>
    <row r="5" ht="24" customHeight="1" spans="1:35" s="4" customFormat="1" x14ac:dyDescent="0.25">
      <c r="A5" s="4">
        <v>1</v>
      </c>
      <c r="B5" s="4" t="s">
        <v>542</v>
      </c>
      <c r="C5" s="4" t="s">
        <v>543</v>
      </c>
      <c r="D5" s="4" t="s">
        <v>544</v>
      </c>
      <c r="E5" s="4" t="s">
        <v>545</v>
      </c>
      <c r="F5" s="4" t="s">
        <v>546</v>
      </c>
      <c r="G5" s="4" t="s">
        <v>547</v>
      </c>
      <c r="H5" s="4" t="s">
        <v>548</v>
      </c>
      <c r="I5" s="4" t="s">
        <v>549</v>
      </c>
      <c r="J5" s="4" t="s">
        <v>549</v>
      </c>
      <c r="K5" s="4" t="s">
        <v>550</v>
      </c>
      <c r="L5" s="4" t="s">
        <v>551</v>
      </c>
      <c r="M5" s="5" t="s">
        <v>552</v>
      </c>
      <c r="N5" s="5" t="s">
        <v>553</v>
      </c>
      <c r="O5" s="4" t="s">
        <v>554</v>
      </c>
      <c r="P5" s="4" t="s">
        <v>555</v>
      </c>
      <c r="Q5" s="4" t="s">
        <v>282</v>
      </c>
      <c r="R5" s="4" t="s">
        <v>556</v>
      </c>
      <c r="S5" s="4"/>
      <c r="T5" s="4"/>
      <c r="U5" s="4"/>
      <c r="V5" s="4"/>
      <c r="W5" s="4"/>
      <c r="X5" s="4"/>
      <c r="Y5" s="4"/>
      <c r="Z5" s="4"/>
      <c r="AA5" s="4"/>
      <c r="AB5" s="4"/>
      <c r="AC5" s="4"/>
      <c r="AD5" s="4"/>
      <c r="AE5" s="4"/>
      <c r="AF5" s="4"/>
      <c r="AG5" s="4"/>
      <c r="AH5" s="4"/>
      <c r="AI5" s="4"/>
    </row>
    <row r="6" ht="24" customHeight="1" spans="1:35" s="4" customFormat="1" x14ac:dyDescent="0.25">
      <c r="A6" s="6">
        <v>2</v>
      </c>
      <c r="B6" s="6" t="s">
        <v>557</v>
      </c>
      <c r="C6" s="6" t="s">
        <v>543</v>
      </c>
      <c r="D6" s="6" t="s">
        <v>558</v>
      </c>
      <c r="E6" s="6" t="s">
        <v>559</v>
      </c>
      <c r="F6" s="6" t="s">
        <v>546</v>
      </c>
      <c r="G6" s="6" t="s">
        <v>547</v>
      </c>
      <c r="H6" s="6" t="s">
        <v>548</v>
      </c>
      <c r="I6" s="6" t="s">
        <v>285</v>
      </c>
      <c r="J6" s="6" t="s">
        <v>285</v>
      </c>
      <c r="K6" s="6" t="s">
        <v>560</v>
      </c>
      <c r="L6" s="6" t="s">
        <v>551</v>
      </c>
      <c r="M6" s="7" t="s">
        <v>561</v>
      </c>
      <c r="N6" s="7" t="s">
        <v>562</v>
      </c>
      <c r="O6" s="6" t="s">
        <v>563</v>
      </c>
      <c r="P6" s="6" t="s">
        <v>564</v>
      </c>
      <c r="Q6" s="6" t="s">
        <v>282</v>
      </c>
      <c r="R6" s="6" t="s">
        <v>565</v>
      </c>
      <c r="S6" s="4"/>
      <c r="T6" s="4"/>
      <c r="U6" s="4"/>
      <c r="V6" s="4"/>
      <c r="W6" s="4"/>
      <c r="X6" s="4"/>
      <c r="Y6" s="4"/>
      <c r="Z6" s="4"/>
      <c r="AA6" s="4"/>
      <c r="AB6" s="4"/>
      <c r="AC6" s="4"/>
      <c r="AD6" s="4"/>
      <c r="AE6" s="4"/>
      <c r="AF6" s="4"/>
      <c r="AG6" s="4"/>
      <c r="AH6" s="4"/>
      <c r="AI6" s="4"/>
    </row>
    <row r="7" ht="24" customHeight="1" spans="1:35" s="4" customFormat="1" x14ac:dyDescent="0.25">
      <c r="A7" s="4">
        <v>3</v>
      </c>
      <c r="B7" s="4" t="s">
        <v>566</v>
      </c>
      <c r="C7" s="4" t="s">
        <v>543</v>
      </c>
      <c r="D7" s="4" t="s">
        <v>567</v>
      </c>
      <c r="E7" s="4" t="s">
        <v>568</v>
      </c>
      <c r="F7" s="4" t="s">
        <v>546</v>
      </c>
      <c r="G7" s="4" t="s">
        <v>547</v>
      </c>
      <c r="H7" s="4" t="s">
        <v>548</v>
      </c>
      <c r="I7" s="4" t="s">
        <v>285</v>
      </c>
      <c r="J7" s="4" t="s">
        <v>285</v>
      </c>
      <c r="K7" s="4" t="s">
        <v>569</v>
      </c>
      <c r="L7" s="4" t="s">
        <v>551</v>
      </c>
      <c r="M7" s="5" t="s">
        <v>570</v>
      </c>
      <c r="N7" s="5" t="s">
        <v>571</v>
      </c>
      <c r="O7" s="4" t="s">
        <v>572</v>
      </c>
      <c r="P7" s="4" t="s">
        <v>573</v>
      </c>
      <c r="Q7" s="4" t="s">
        <v>282</v>
      </c>
      <c r="R7" s="4" t="s">
        <v>574</v>
      </c>
      <c r="S7" s="4"/>
      <c r="T7" s="4"/>
      <c r="U7" s="4"/>
      <c r="V7" s="4"/>
      <c r="W7" s="4"/>
      <c r="X7" s="4"/>
      <c r="Y7" s="4"/>
      <c r="Z7" s="4"/>
      <c r="AA7" s="4"/>
      <c r="AB7" s="4"/>
      <c r="AC7" s="4"/>
      <c r="AD7" s="4"/>
      <c r="AE7" s="4"/>
      <c r="AF7" s="4"/>
      <c r="AG7" s="4"/>
      <c r="AH7" s="4"/>
      <c r="AI7" s="4"/>
    </row>
    <row r="8" ht="24" customHeight="1" spans="1:35" s="4" customFormat="1" x14ac:dyDescent="0.25">
      <c r="A8" s="6">
        <v>4</v>
      </c>
      <c r="B8" s="6" t="s">
        <v>575</v>
      </c>
      <c r="C8" s="6" t="s">
        <v>482</v>
      </c>
      <c r="D8" s="6" t="s">
        <v>544</v>
      </c>
      <c r="E8" s="6" t="s">
        <v>576</v>
      </c>
      <c r="F8" s="6" t="s">
        <v>546</v>
      </c>
      <c r="G8" s="6" t="s">
        <v>547</v>
      </c>
      <c r="H8" s="6" t="s">
        <v>548</v>
      </c>
      <c r="I8" s="6" t="s">
        <v>285</v>
      </c>
      <c r="J8" s="6" t="s">
        <v>285</v>
      </c>
      <c r="K8" s="6" t="s">
        <v>577</v>
      </c>
      <c r="L8" s="6" t="s">
        <v>578</v>
      </c>
      <c r="M8" s="7" t="s">
        <v>579</v>
      </c>
      <c r="N8" s="7" t="s">
        <v>580</v>
      </c>
      <c r="O8" s="6" t="s">
        <v>581</v>
      </c>
      <c r="P8" s="6" t="s">
        <v>582</v>
      </c>
      <c r="Q8" s="6" t="s">
        <v>282</v>
      </c>
      <c r="R8" s="6" t="s">
        <v>583</v>
      </c>
      <c r="S8" s="4"/>
      <c r="T8" s="4"/>
      <c r="U8" s="4"/>
      <c r="V8" s="4"/>
      <c r="W8" s="4"/>
      <c r="X8" s="4"/>
      <c r="Y8" s="4"/>
      <c r="Z8" s="4"/>
      <c r="AA8" s="4"/>
      <c r="AB8" s="4"/>
      <c r="AC8" s="4"/>
      <c r="AD8" s="4"/>
      <c r="AE8" s="4"/>
      <c r="AF8" s="4"/>
      <c r="AG8" s="4"/>
      <c r="AH8" s="4"/>
      <c r="AI8" s="4"/>
    </row>
    <row r="9" ht="24" customHeight="1" spans="1:35" s="4" customFormat="1" x14ac:dyDescent="0.25">
      <c r="A9" s="4">
        <v>5</v>
      </c>
      <c r="B9" s="4" t="s">
        <v>584</v>
      </c>
      <c r="C9" s="4" t="s">
        <v>304</v>
      </c>
      <c r="D9" s="4" t="s">
        <v>585</v>
      </c>
      <c r="E9" s="4" t="s">
        <v>586</v>
      </c>
      <c r="F9" s="4" t="s">
        <v>546</v>
      </c>
      <c r="G9" s="4" t="s">
        <v>547</v>
      </c>
      <c r="H9" s="4" t="s">
        <v>548</v>
      </c>
      <c r="I9" s="4" t="s">
        <v>285</v>
      </c>
      <c r="J9" s="4" t="s">
        <v>285</v>
      </c>
      <c r="K9" s="4" t="s">
        <v>587</v>
      </c>
      <c r="L9" s="4" t="s">
        <v>588</v>
      </c>
      <c r="M9" s="5" t="s">
        <v>589</v>
      </c>
      <c r="N9" s="5" t="s">
        <v>590</v>
      </c>
      <c r="O9" s="4" t="s">
        <v>581</v>
      </c>
      <c r="P9" s="4" t="s">
        <v>591</v>
      </c>
      <c r="Q9" s="4" t="s">
        <v>282</v>
      </c>
      <c r="R9" s="4" t="s">
        <v>583</v>
      </c>
      <c r="S9" s="4"/>
      <c r="T9" s="4"/>
      <c r="U9" s="4"/>
      <c r="V9" s="4"/>
      <c r="W9" s="4"/>
      <c r="X9" s="4"/>
      <c r="Y9" s="4"/>
      <c r="Z9" s="4"/>
      <c r="AA9" s="4"/>
      <c r="AB9" s="4"/>
      <c r="AC9" s="4"/>
      <c r="AD9" s="4"/>
      <c r="AE9" s="4"/>
      <c r="AF9" s="4"/>
      <c r="AG9" s="4"/>
      <c r="AH9" s="4"/>
      <c r="AI9" s="4"/>
    </row>
    <row r="10" ht="24" customHeight="1" spans="1:35" s="4" customFormat="1" x14ac:dyDescent="0.25">
      <c r="A10" s="6">
        <v>6</v>
      </c>
      <c r="B10" s="6" t="s">
        <v>592</v>
      </c>
      <c r="C10" s="6" t="s">
        <v>325</v>
      </c>
      <c r="D10" s="6" t="s">
        <v>593</v>
      </c>
      <c r="E10" s="6" t="s">
        <v>594</v>
      </c>
      <c r="F10" s="6" t="s">
        <v>546</v>
      </c>
      <c r="G10" s="6" t="s">
        <v>547</v>
      </c>
      <c r="H10" s="6" t="s">
        <v>548</v>
      </c>
      <c r="I10" s="6" t="s">
        <v>285</v>
      </c>
      <c r="J10" s="6" t="s">
        <v>285</v>
      </c>
      <c r="K10" s="6" t="s">
        <v>595</v>
      </c>
      <c r="L10" s="6" t="s">
        <v>596</v>
      </c>
      <c r="M10" s="7" t="s">
        <v>597</v>
      </c>
      <c r="N10" s="7" t="s">
        <v>598</v>
      </c>
      <c r="O10" s="6" t="s">
        <v>581</v>
      </c>
      <c r="P10" s="6" t="s">
        <v>599</v>
      </c>
      <c r="Q10" s="6" t="s">
        <v>282</v>
      </c>
      <c r="R10" s="6" t="s">
        <v>583</v>
      </c>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600</v>
      </c>
      <c r="C11" s="4" t="s">
        <v>601</v>
      </c>
      <c r="D11" s="4" t="s">
        <v>544</v>
      </c>
      <c r="E11" s="4" t="s">
        <v>602</v>
      </c>
      <c r="F11" s="4" t="s">
        <v>546</v>
      </c>
      <c r="G11" s="4" t="s">
        <v>547</v>
      </c>
      <c r="H11" s="4" t="s">
        <v>548</v>
      </c>
      <c r="I11" s="4" t="s">
        <v>285</v>
      </c>
      <c r="J11" s="4" t="s">
        <v>285</v>
      </c>
      <c r="K11" s="4" t="s">
        <v>603</v>
      </c>
      <c r="L11" s="4" t="s">
        <v>604</v>
      </c>
      <c r="M11" s="5" t="s">
        <v>605</v>
      </c>
      <c r="N11" s="5" t="s">
        <v>562</v>
      </c>
      <c r="O11" s="4" t="s">
        <v>581</v>
      </c>
      <c r="P11" s="4" t="s">
        <v>606</v>
      </c>
      <c r="Q11" s="4" t="s">
        <v>282</v>
      </c>
      <c r="R11" s="4" t="s">
        <v>607</v>
      </c>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608</v>
      </c>
      <c r="C12" s="6" t="s">
        <v>609</v>
      </c>
      <c r="D12" s="6" t="s">
        <v>610</v>
      </c>
      <c r="E12" s="6" t="s">
        <v>611</v>
      </c>
      <c r="F12" s="6" t="s">
        <v>546</v>
      </c>
      <c r="G12" s="6" t="s">
        <v>547</v>
      </c>
      <c r="H12" s="6" t="s">
        <v>548</v>
      </c>
      <c r="I12" s="6" t="s">
        <v>285</v>
      </c>
      <c r="J12" s="6" t="s">
        <v>285</v>
      </c>
      <c r="K12" s="6" t="s">
        <v>612</v>
      </c>
      <c r="L12" s="6" t="s">
        <v>613</v>
      </c>
      <c r="M12" s="7" t="s">
        <v>614</v>
      </c>
      <c r="N12" s="7" t="s">
        <v>615</v>
      </c>
      <c r="O12" s="6" t="s">
        <v>616</v>
      </c>
      <c r="P12" s="6" t="s">
        <v>617</v>
      </c>
      <c r="Q12" s="6" t="s">
        <v>282</v>
      </c>
      <c r="R12" s="6" t="s">
        <v>618</v>
      </c>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619</v>
      </c>
      <c r="C13" s="4" t="s">
        <v>620</v>
      </c>
      <c r="D13" s="4" t="s">
        <v>567</v>
      </c>
      <c r="E13" s="4" t="s">
        <v>621</v>
      </c>
      <c r="F13" s="4" t="s">
        <v>546</v>
      </c>
      <c r="G13" s="4" t="s">
        <v>547</v>
      </c>
      <c r="H13" s="4" t="s">
        <v>548</v>
      </c>
      <c r="I13" s="4" t="s">
        <v>285</v>
      </c>
      <c r="J13" s="4" t="s">
        <v>285</v>
      </c>
      <c r="K13" s="4" t="s">
        <v>622</v>
      </c>
      <c r="L13" s="4" t="s">
        <v>613</v>
      </c>
      <c r="M13" s="5" t="s">
        <v>614</v>
      </c>
      <c r="N13" s="5" t="s">
        <v>623</v>
      </c>
      <c r="O13" s="4" t="s">
        <v>624</v>
      </c>
      <c r="P13" s="4" t="s">
        <v>625</v>
      </c>
      <c r="Q13" s="4" t="s">
        <v>282</v>
      </c>
      <c r="R13" s="4" t="s">
        <v>626</v>
      </c>
      <c r="S13" s="4"/>
      <c r="T13" s="4"/>
      <c r="U13" s="4"/>
      <c r="V13" s="4"/>
      <c r="W13" s="4"/>
      <c r="X13" s="4"/>
      <c r="Y13" s="4"/>
      <c r="Z13" s="4"/>
      <c r="AA13" s="4"/>
      <c r="AB13" s="4"/>
      <c r="AC13" s="4"/>
      <c r="AD13" s="4"/>
      <c r="AE13" s="4"/>
      <c r="AF13" s="4"/>
      <c r="AG13" s="4"/>
      <c r="AH13" s="4"/>
      <c r="AI13" s="4"/>
    </row>
  </sheetData>
  <hyperlinks>
    <hyperlink ref="A1" r:id="rId1" location="#'P-00 INDEX'!A1"/>
    <hyperlink ref="M5" r:id="rId2"/>
    <hyperlink ref="N5" r:id="rId3"/>
    <hyperlink ref="M6" r:id="rId4"/>
    <hyperlink ref="N6" r:id="rId5"/>
    <hyperlink ref="M7" r:id="rId6"/>
    <hyperlink ref="N7" r:id="rId7"/>
    <hyperlink ref="M8" r:id="rId8"/>
    <hyperlink ref="N8" r:id="rId9"/>
    <hyperlink ref="M9" r:id="rId10"/>
    <hyperlink ref="N9" r:id="rId11"/>
    <hyperlink ref="M10" r:id="rId12"/>
    <hyperlink ref="N10" r:id="rId13"/>
    <hyperlink ref="M11" r:id="rId14"/>
    <hyperlink ref="N11" r:id="rId15"/>
    <hyperlink ref="M12" r:id="rId16"/>
    <hyperlink ref="N12" r:id="rId17"/>
    <hyperlink ref="M13" r:id="rId18"/>
    <hyperlink ref="N13" r:id="rId19"/>
  </hyperlink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0"/>
  <sheetViews>
    <sheetView workbookViewId="0"/>
  </sheetViews>
  <sheetFormatPr defaultRowHeight="15" outlineLevelRow="0" outlineLevelCol="0" x14ac:dyDescent="55"/>
  <cols>
    <col min="1" max="1" width="57" customWidth="1"/>
    <col min="2" max="4" width="15" customWidth="1"/>
    <col min="5" max="5" width="37" customWidth="1"/>
    <col min="6" max="6" width="61" customWidth="1"/>
    <col min="7" max="7" width="63" customWidth="1"/>
    <col min="8" max="8" width="15" customWidth="1"/>
    <col min="9" max="9" width="63" customWidth="1"/>
    <col min="10" max="11" width="15" customWidth="1"/>
    <col min="12" max="12" width="63" customWidth="1"/>
    <col min="13" max="13" width="15" customWidth="1"/>
    <col min="14" max="14" width="30" customWidth="1"/>
    <col min="15" max="15" width="21" customWidth="1"/>
    <col min="16" max="35" width="15" customWidth="1"/>
  </cols>
  <sheetData>
    <row r="1" ht="24" customHeight="1" spans="1:35" x14ac:dyDescent="0.25">
      <c r="A1" s="8" t="s">
        <v>117</v>
      </c>
    </row>
    <row r="2" spans="1:35" x14ac:dyDescent="0.25">
      <c r="A2" s="1" t="s">
        <v>627</v>
      </c>
    </row>
    <row r="4" ht="26" customHeight="1" spans="1:35" s="3" customFormat="1" x14ac:dyDescent="0.25">
      <c r="A4" s="3" t="s">
        <v>2</v>
      </c>
      <c r="B4" s="3" t="s">
        <v>628</v>
      </c>
      <c r="C4" s="3" t="s">
        <v>529</v>
      </c>
      <c r="D4" s="3" t="s">
        <v>629</v>
      </c>
      <c r="E4" s="3" t="s">
        <v>630</v>
      </c>
      <c r="F4" s="3" t="s">
        <v>631</v>
      </c>
      <c r="G4" s="3" t="s">
        <v>632</v>
      </c>
      <c r="H4" s="3" t="s">
        <v>267</v>
      </c>
      <c r="I4" s="3" t="s">
        <v>633</v>
      </c>
      <c r="J4" s="3" t="s">
        <v>531</v>
      </c>
      <c r="K4" s="3" t="s">
        <v>260</v>
      </c>
      <c r="L4" s="3" t="s">
        <v>634</v>
      </c>
      <c r="M4" s="3" t="s">
        <v>635</v>
      </c>
      <c r="N4" s="3" t="s">
        <v>636</v>
      </c>
      <c r="O4" s="3" t="s">
        <v>637</v>
      </c>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638</v>
      </c>
      <c r="C5" s="4" t="s">
        <v>593</v>
      </c>
      <c r="D5" s="4" t="s">
        <v>549</v>
      </c>
      <c r="E5" s="4" t="s">
        <v>639</v>
      </c>
      <c r="F5" s="4" t="s">
        <v>640</v>
      </c>
      <c r="G5" s="4" t="s">
        <v>641</v>
      </c>
      <c r="H5" s="4" t="s">
        <v>284</v>
      </c>
      <c r="I5" s="4" t="s">
        <v>642</v>
      </c>
      <c r="J5" s="4" t="s">
        <v>546</v>
      </c>
      <c r="K5" s="4" t="s">
        <v>643</v>
      </c>
      <c r="L5" s="4" t="s">
        <v>644</v>
      </c>
      <c r="M5" s="4">
        <v>4</v>
      </c>
      <c r="N5" s="5" t="s">
        <v>645</v>
      </c>
      <c r="O5" s="4" t="s">
        <v>542</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646</v>
      </c>
      <c r="C6" s="6" t="s">
        <v>558</v>
      </c>
      <c r="D6" s="6" t="s">
        <v>285</v>
      </c>
      <c r="E6" s="6" t="s">
        <v>647</v>
      </c>
      <c r="F6" s="6" t="s">
        <v>648</v>
      </c>
      <c r="G6" s="6" t="s">
        <v>649</v>
      </c>
      <c r="H6" s="6" t="s">
        <v>284</v>
      </c>
      <c r="I6" s="6" t="s">
        <v>650</v>
      </c>
      <c r="J6" s="6" t="s">
        <v>546</v>
      </c>
      <c r="K6" s="6" t="s">
        <v>643</v>
      </c>
      <c r="L6" s="6" t="s">
        <v>335</v>
      </c>
      <c r="M6" s="6">
        <v>3</v>
      </c>
      <c r="N6" s="7" t="s">
        <v>651</v>
      </c>
      <c r="O6" s="6" t="s">
        <v>557</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652</v>
      </c>
      <c r="C7" s="4" t="s">
        <v>653</v>
      </c>
      <c r="D7" s="4" t="s">
        <v>285</v>
      </c>
      <c r="E7" s="4" t="s">
        <v>654</v>
      </c>
      <c r="F7" s="4" t="s">
        <v>655</v>
      </c>
      <c r="G7" s="4" t="s">
        <v>656</v>
      </c>
      <c r="H7" s="4" t="s">
        <v>284</v>
      </c>
      <c r="I7" s="4" t="s">
        <v>657</v>
      </c>
      <c r="J7" s="4" t="s">
        <v>546</v>
      </c>
      <c r="K7" s="4" t="s">
        <v>643</v>
      </c>
      <c r="L7" s="4" t="s">
        <v>658</v>
      </c>
      <c r="M7" s="4">
        <v>12</v>
      </c>
      <c r="N7" s="5" t="s">
        <v>659</v>
      </c>
      <c r="O7" s="4" t="s">
        <v>600</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660</v>
      </c>
      <c r="C8" s="6" t="s">
        <v>585</v>
      </c>
      <c r="D8" s="6" t="s">
        <v>285</v>
      </c>
      <c r="E8" s="6" t="s">
        <v>661</v>
      </c>
      <c r="F8" s="6" t="s">
        <v>662</v>
      </c>
      <c r="G8" s="6" t="s">
        <v>663</v>
      </c>
      <c r="H8" s="6" t="s">
        <v>284</v>
      </c>
      <c r="I8" s="6" t="s">
        <v>664</v>
      </c>
      <c r="J8" s="6" t="s">
        <v>546</v>
      </c>
      <c r="K8" s="6" t="s">
        <v>643</v>
      </c>
      <c r="L8" s="6" t="s">
        <v>665</v>
      </c>
      <c r="M8" s="6">
        <v>8</v>
      </c>
      <c r="N8" s="7" t="s">
        <v>651</v>
      </c>
      <c r="O8" s="6" t="s">
        <v>557</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666</v>
      </c>
      <c r="C9" s="4" t="s">
        <v>593</v>
      </c>
      <c r="D9" s="4" t="s">
        <v>285</v>
      </c>
      <c r="E9" s="4" t="s">
        <v>667</v>
      </c>
      <c r="F9" s="4" t="s">
        <v>668</v>
      </c>
      <c r="G9" s="4" t="s">
        <v>669</v>
      </c>
      <c r="H9" s="4" t="s">
        <v>284</v>
      </c>
      <c r="I9" s="4" t="s">
        <v>670</v>
      </c>
      <c r="J9" s="4" t="s">
        <v>546</v>
      </c>
      <c r="K9" s="4" t="s">
        <v>643</v>
      </c>
      <c r="L9" s="4" t="s">
        <v>671</v>
      </c>
      <c r="M9" s="4">
        <v>5</v>
      </c>
      <c r="N9" s="5" t="s">
        <v>597</v>
      </c>
      <c r="O9" s="4" t="s">
        <v>592</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672</v>
      </c>
      <c r="C10" s="6" t="s">
        <v>567</v>
      </c>
      <c r="D10" s="6" t="s">
        <v>285</v>
      </c>
      <c r="E10" s="6" t="s">
        <v>673</v>
      </c>
      <c r="F10" s="6" t="s">
        <v>674</v>
      </c>
      <c r="G10" s="6" t="s">
        <v>675</v>
      </c>
      <c r="H10" s="6" t="s">
        <v>284</v>
      </c>
      <c r="I10" s="6" t="s">
        <v>676</v>
      </c>
      <c r="J10" s="6" t="s">
        <v>546</v>
      </c>
      <c r="K10" s="6" t="s">
        <v>643</v>
      </c>
      <c r="L10" s="6" t="s">
        <v>665</v>
      </c>
      <c r="M10" s="6">
        <v>6</v>
      </c>
      <c r="N10" s="7" t="s">
        <v>677</v>
      </c>
      <c r="O10" s="6" t="s">
        <v>619</v>
      </c>
      <c r="P10" s="4"/>
      <c r="Q10" s="4"/>
      <c r="R10" s="4"/>
      <c r="S10" s="4"/>
      <c r="T10" s="4"/>
      <c r="U10" s="4"/>
      <c r="V10" s="4"/>
      <c r="W10" s="4"/>
      <c r="X10" s="4"/>
      <c r="Y10" s="4"/>
      <c r="Z10" s="4"/>
      <c r="AA10" s="4"/>
      <c r="AB10" s="4"/>
      <c r="AC10" s="4"/>
      <c r="AD10" s="4"/>
      <c r="AE10" s="4"/>
      <c r="AF10" s="4"/>
      <c r="AG10" s="4"/>
      <c r="AH10" s="4"/>
      <c r="AI10" s="4"/>
    </row>
  </sheetData>
  <hyperlinks>
    <hyperlink ref="A1" r:id="rId1" location="#'P-00 INDEX'!A1"/>
    <hyperlink ref="N5" r:id="rId2"/>
    <hyperlink ref="N6" r:id="rId3"/>
    <hyperlink ref="N7" r:id="rId4"/>
    <hyperlink ref="N8" r:id="rId5"/>
    <hyperlink ref="N9" r:id="rId6"/>
    <hyperlink ref="N10" r:id="rId7"/>
  </hyperlink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8"/>
  <sheetViews>
    <sheetView workbookViewId="0"/>
  </sheetViews>
  <sheetFormatPr defaultRowHeight="15" outlineLevelRow="0" outlineLevelCol="0" x14ac:dyDescent="55"/>
  <cols>
    <col min="1" max="1" width="52" customWidth="1"/>
    <col min="2" max="4" width="15" customWidth="1"/>
    <col min="5" max="5" width="63" customWidth="1"/>
    <col min="6" max="6" width="20" customWidth="1"/>
    <col min="7" max="7" width="18" customWidth="1"/>
    <col min="8" max="9" width="15" customWidth="1"/>
    <col min="10" max="10" width="19" customWidth="1"/>
    <col min="11" max="11" width="25" customWidth="1"/>
    <col min="12" max="12" width="20" customWidth="1"/>
    <col min="13" max="13" width="21" customWidth="1"/>
    <col min="14" max="35" width="15" customWidth="1"/>
  </cols>
  <sheetData>
    <row r="1" ht="24" customHeight="1" spans="1:35" x14ac:dyDescent="0.25">
      <c r="A1" s="8" t="s">
        <v>117</v>
      </c>
    </row>
    <row r="2" spans="1:35" x14ac:dyDescent="0.25">
      <c r="A2" s="1" t="s">
        <v>678</v>
      </c>
    </row>
    <row r="4" ht="26" customHeight="1" spans="1:35" s="3" customFormat="1" x14ac:dyDescent="0.25">
      <c r="A4" s="3" t="s">
        <v>2</v>
      </c>
      <c r="B4" s="3" t="s">
        <v>679</v>
      </c>
      <c r="C4" s="3" t="s">
        <v>259</v>
      </c>
      <c r="D4" s="3" t="s">
        <v>629</v>
      </c>
      <c r="E4" s="3" t="s">
        <v>630</v>
      </c>
      <c r="F4" s="3" t="s">
        <v>680</v>
      </c>
      <c r="G4" s="3" t="s">
        <v>681</v>
      </c>
      <c r="H4" s="3" t="s">
        <v>682</v>
      </c>
      <c r="I4" s="3" t="s">
        <v>683</v>
      </c>
      <c r="J4" s="3" t="s">
        <v>684</v>
      </c>
      <c r="K4" s="3" t="s">
        <v>685</v>
      </c>
      <c r="L4" s="3" t="s">
        <v>686</v>
      </c>
      <c r="M4" s="3" t="s">
        <v>687</v>
      </c>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688</v>
      </c>
      <c r="C5" s="4" t="s">
        <v>689</v>
      </c>
      <c r="D5" s="4" t="s">
        <v>549</v>
      </c>
      <c r="E5" s="4" t="s">
        <v>690</v>
      </c>
      <c r="F5" s="4">
        <v>38</v>
      </c>
      <c r="G5" s="4">
        <v>38</v>
      </c>
      <c r="H5" s="4">
        <v>38</v>
      </c>
      <c r="I5" s="4">
        <v>0</v>
      </c>
      <c r="J5" s="4" t="s">
        <v>286</v>
      </c>
      <c r="K5" s="4" t="s">
        <v>691</v>
      </c>
      <c r="L5" s="4" t="s">
        <v>692</v>
      </c>
      <c r="M5" s="5" t="s">
        <v>693</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694</v>
      </c>
      <c r="C6" s="6" t="s">
        <v>695</v>
      </c>
      <c r="D6" s="6" t="s">
        <v>285</v>
      </c>
      <c r="E6" s="6" t="s">
        <v>696</v>
      </c>
      <c r="F6" s="6">
        <v>47</v>
      </c>
      <c r="G6" s="6">
        <v>47</v>
      </c>
      <c r="H6" s="6">
        <v>47</v>
      </c>
      <c r="I6" s="6">
        <v>0</v>
      </c>
      <c r="J6" s="6" t="s">
        <v>286</v>
      </c>
      <c r="K6" s="6" t="s">
        <v>697</v>
      </c>
      <c r="L6" s="6" t="s">
        <v>698</v>
      </c>
      <c r="M6" s="7" t="s">
        <v>693</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699</v>
      </c>
      <c r="C7" s="4" t="s">
        <v>279</v>
      </c>
      <c r="D7" s="4" t="s">
        <v>285</v>
      </c>
      <c r="E7" s="4" t="s">
        <v>700</v>
      </c>
      <c r="F7" s="4">
        <v>47</v>
      </c>
      <c r="G7" s="4">
        <v>47</v>
      </c>
      <c r="H7" s="4">
        <v>47</v>
      </c>
      <c r="I7" s="4">
        <v>0</v>
      </c>
      <c r="J7" s="4" t="s">
        <v>286</v>
      </c>
      <c r="K7" s="4" t="s">
        <v>697</v>
      </c>
      <c r="L7" s="4" t="s">
        <v>698</v>
      </c>
      <c r="M7" s="5" t="s">
        <v>693</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701</v>
      </c>
      <c r="C8" s="6" t="s">
        <v>702</v>
      </c>
      <c r="D8" s="6" t="s">
        <v>703</v>
      </c>
      <c r="E8" s="6" t="s">
        <v>704</v>
      </c>
      <c r="F8" s="6">
        <v>15</v>
      </c>
      <c r="G8" s="6">
        <v>0</v>
      </c>
      <c r="H8" s="6">
        <v>0</v>
      </c>
      <c r="I8" s="6">
        <v>0</v>
      </c>
      <c r="J8" s="6" t="s">
        <v>705</v>
      </c>
      <c r="K8" s="6" t="s">
        <v>706</v>
      </c>
      <c r="L8" s="6" t="s">
        <v>706</v>
      </c>
      <c r="M8" s="7" t="s">
        <v>707</v>
      </c>
      <c r="N8" s="4"/>
      <c r="O8" s="4"/>
      <c r="P8" s="4"/>
      <c r="Q8" s="4"/>
      <c r="R8" s="4"/>
      <c r="S8" s="4"/>
      <c r="T8" s="4"/>
      <c r="U8" s="4"/>
      <c r="V8" s="4"/>
      <c r="W8" s="4"/>
      <c r="X8" s="4"/>
      <c r="Y8" s="4"/>
      <c r="Z8" s="4"/>
      <c r="AA8" s="4"/>
      <c r="AB8" s="4"/>
      <c r="AC8" s="4"/>
      <c r="AD8" s="4"/>
      <c r="AE8" s="4"/>
      <c r="AF8" s="4"/>
      <c r="AG8" s="4"/>
      <c r="AH8" s="4"/>
      <c r="AI8" s="4"/>
    </row>
  </sheetData>
  <hyperlinks>
    <hyperlink ref="A1" r:id="rId1" location="#'P-00 INDEX'!A1"/>
    <hyperlink ref="M5" r:id="rId2" location="#'C-Changes'!A2"/>
    <hyperlink ref="M6" r:id="rId3" location="#'C-Changes'!A3"/>
    <hyperlink ref="M7" r:id="rId4" location="#'C-Changes'!A4"/>
    <hyperlink ref="M8" r:id="rId5" location="#'C-Candidates'!A1"/>
  </hyperlink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
  <sheetViews>
    <sheetView workbookViewId="0"/>
  </sheetViews>
  <sheetFormatPr defaultRowHeight="15" outlineLevelRow="0" outlineLevelCol="0" x14ac:dyDescent="55"/>
  <cols>
    <col min="1" max="1" width="49" customWidth="1"/>
    <col min="2" max="2" width="15" customWidth="1"/>
    <col min="3" max="3" width="33" customWidth="1"/>
    <col min="4" max="4" width="63" customWidth="1"/>
    <col min="5" max="5" width="59" customWidth="1"/>
    <col min="6" max="6" width="41" customWidth="1"/>
    <col min="7" max="7" width="45" customWidth="1"/>
    <col min="8" max="9" width="15" customWidth="1"/>
    <col min="10" max="10" width="63" customWidth="1"/>
    <col min="11" max="11" width="34" customWidth="1"/>
    <col min="12" max="35" width="15" customWidth="1"/>
  </cols>
  <sheetData>
    <row r="1" ht="24" customHeight="1" spans="1:35" x14ac:dyDescent="0.25">
      <c r="A1" s="8" t="s">
        <v>117</v>
      </c>
    </row>
    <row r="2" spans="1:35" x14ac:dyDescent="0.25">
      <c r="A2" s="1" t="s">
        <v>708</v>
      </c>
    </row>
    <row r="4" ht="26" customHeight="1" spans="1:35" s="3" customFormat="1" x14ac:dyDescent="0.25">
      <c r="A4" s="3" t="s">
        <v>2</v>
      </c>
      <c r="B4" s="3" t="s">
        <v>529</v>
      </c>
      <c r="C4" s="3" t="s">
        <v>709</v>
      </c>
      <c r="D4" s="3" t="s">
        <v>710</v>
      </c>
      <c r="E4" s="3" t="s">
        <v>711</v>
      </c>
      <c r="F4" s="3" t="s">
        <v>712</v>
      </c>
      <c r="G4" s="3" t="s">
        <v>713</v>
      </c>
      <c r="H4" s="3" t="s">
        <v>260</v>
      </c>
      <c r="I4" s="3" t="s">
        <v>714</v>
      </c>
      <c r="J4" s="3" t="s">
        <v>715</v>
      </c>
      <c r="K4" s="3" t="s">
        <v>716</v>
      </c>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544</v>
      </c>
      <c r="C5" s="4" t="s">
        <v>717</v>
      </c>
      <c r="D5" s="4" t="s">
        <v>718</v>
      </c>
      <c r="E5" s="5" t="s">
        <v>719</v>
      </c>
      <c r="F5" s="4" t="s">
        <v>720</v>
      </c>
      <c r="G5" s="4" t="s">
        <v>721</v>
      </c>
      <c r="H5" s="4" t="s">
        <v>722</v>
      </c>
      <c r="I5" s="4" t="s">
        <v>285</v>
      </c>
      <c r="J5" s="4" t="s">
        <v>723</v>
      </c>
      <c r="K5" s="4" t="s">
        <v>724</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567</v>
      </c>
      <c r="C6" s="6" t="s">
        <v>725</v>
      </c>
      <c r="D6" s="6" t="s">
        <v>726</v>
      </c>
      <c r="E6" s="7" t="s">
        <v>727</v>
      </c>
      <c r="F6" s="6" t="s">
        <v>728</v>
      </c>
      <c r="G6" s="6" t="s">
        <v>729</v>
      </c>
      <c r="H6" s="6" t="s">
        <v>722</v>
      </c>
      <c r="I6" s="6" t="s">
        <v>285</v>
      </c>
      <c r="J6" s="6" t="s">
        <v>730</v>
      </c>
      <c r="K6" s="6" t="s">
        <v>731</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558</v>
      </c>
      <c r="C7" s="4" t="s">
        <v>732</v>
      </c>
      <c r="D7" s="4" t="s">
        <v>733</v>
      </c>
      <c r="E7" s="5" t="s">
        <v>734</v>
      </c>
      <c r="F7" s="4" t="s">
        <v>735</v>
      </c>
      <c r="G7" s="4" t="s">
        <v>736</v>
      </c>
      <c r="H7" s="4" t="s">
        <v>722</v>
      </c>
      <c r="I7" s="4" t="s">
        <v>285</v>
      </c>
      <c r="J7" s="4" t="s">
        <v>737</v>
      </c>
      <c r="K7" s="4" t="s">
        <v>738</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739</v>
      </c>
      <c r="C8" s="6" t="s">
        <v>740</v>
      </c>
      <c r="D8" s="6" t="s">
        <v>741</v>
      </c>
      <c r="E8" s="7" t="s">
        <v>742</v>
      </c>
      <c r="F8" s="6" t="s">
        <v>743</v>
      </c>
      <c r="G8" s="6" t="s">
        <v>744</v>
      </c>
      <c r="H8" s="6" t="s">
        <v>722</v>
      </c>
      <c r="I8" s="6" t="s">
        <v>285</v>
      </c>
      <c r="J8" s="6" t="s">
        <v>745</v>
      </c>
      <c r="K8" s="6" t="s">
        <v>746</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653</v>
      </c>
      <c r="C9" s="4" t="s">
        <v>747</v>
      </c>
      <c r="D9" s="4" t="s">
        <v>748</v>
      </c>
      <c r="E9" s="5" t="s">
        <v>749</v>
      </c>
      <c r="F9" s="4" t="s">
        <v>750</v>
      </c>
      <c r="G9" s="4" t="s">
        <v>751</v>
      </c>
      <c r="H9" s="4" t="s">
        <v>722</v>
      </c>
      <c r="I9" s="4" t="s">
        <v>285</v>
      </c>
      <c r="J9" s="4" t="s">
        <v>752</v>
      </c>
      <c r="K9" s="4" t="s">
        <v>753</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585</v>
      </c>
      <c r="C10" s="6" t="s">
        <v>754</v>
      </c>
      <c r="D10" s="6" t="s">
        <v>755</v>
      </c>
      <c r="E10" s="7" t="s">
        <v>756</v>
      </c>
      <c r="F10" s="6" t="s">
        <v>757</v>
      </c>
      <c r="G10" s="6" t="s">
        <v>758</v>
      </c>
      <c r="H10" s="6" t="s">
        <v>722</v>
      </c>
      <c r="I10" s="6" t="s">
        <v>285</v>
      </c>
      <c r="J10" s="6" t="s">
        <v>759</v>
      </c>
      <c r="K10" s="6" t="s">
        <v>760</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593</v>
      </c>
      <c r="C11" s="4" t="s">
        <v>761</v>
      </c>
      <c r="D11" s="4" t="s">
        <v>762</v>
      </c>
      <c r="E11" s="5" t="s">
        <v>645</v>
      </c>
      <c r="F11" s="4" t="s">
        <v>763</v>
      </c>
      <c r="G11" s="4" t="s">
        <v>764</v>
      </c>
      <c r="H11" s="4" t="s">
        <v>722</v>
      </c>
      <c r="I11" s="4" t="s">
        <v>285</v>
      </c>
      <c r="J11" s="4" t="s">
        <v>765</v>
      </c>
      <c r="K11" s="4" t="s">
        <v>766</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767</v>
      </c>
      <c r="C12" s="6" t="s">
        <v>768</v>
      </c>
      <c r="D12" s="6" t="s">
        <v>769</v>
      </c>
      <c r="E12" s="7" t="s">
        <v>770</v>
      </c>
      <c r="F12" s="6" t="s">
        <v>771</v>
      </c>
      <c r="G12" s="6" t="s">
        <v>772</v>
      </c>
      <c r="H12" s="6" t="s">
        <v>722</v>
      </c>
      <c r="I12" s="6" t="s">
        <v>285</v>
      </c>
      <c r="J12" s="6" t="s">
        <v>773</v>
      </c>
      <c r="K12" s="6" t="s">
        <v>774</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775</v>
      </c>
      <c r="C13" s="4" t="s">
        <v>776</v>
      </c>
      <c r="D13" s="4" t="s">
        <v>777</v>
      </c>
      <c r="E13" s="5" t="s">
        <v>778</v>
      </c>
      <c r="F13" s="4" t="s">
        <v>779</v>
      </c>
      <c r="G13" s="4" t="s">
        <v>780</v>
      </c>
      <c r="H13" s="4" t="s">
        <v>722</v>
      </c>
      <c r="I13" s="4" t="s">
        <v>285</v>
      </c>
      <c r="J13" s="4" t="s">
        <v>781</v>
      </c>
      <c r="K13" s="4" t="s">
        <v>782</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610</v>
      </c>
      <c r="C14" s="6" t="s">
        <v>783</v>
      </c>
      <c r="D14" s="6" t="s">
        <v>784</v>
      </c>
      <c r="E14" s="7" t="s">
        <v>785</v>
      </c>
      <c r="F14" s="6" t="s">
        <v>786</v>
      </c>
      <c r="G14" s="6" t="s">
        <v>787</v>
      </c>
      <c r="H14" s="6" t="s">
        <v>722</v>
      </c>
      <c r="I14" s="6" t="s">
        <v>285</v>
      </c>
      <c r="J14" s="6" t="s">
        <v>788</v>
      </c>
      <c r="K14" s="6" t="s">
        <v>789</v>
      </c>
      <c r="L14" s="4"/>
      <c r="M14" s="4"/>
      <c r="N14" s="4"/>
      <c r="O14" s="4"/>
      <c r="P14" s="4"/>
      <c r="Q14" s="4"/>
      <c r="R14" s="4"/>
      <c r="S14" s="4"/>
      <c r="T14" s="4"/>
      <c r="U14" s="4"/>
      <c r="V14" s="4"/>
      <c r="W14" s="4"/>
      <c r="X14" s="4"/>
      <c r="Y14" s="4"/>
      <c r="Z14" s="4"/>
      <c r="AA14" s="4"/>
      <c r="AB14" s="4"/>
      <c r="AC14" s="4"/>
      <c r="AD14" s="4"/>
      <c r="AE14" s="4"/>
      <c r="AF14" s="4"/>
      <c r="AG14" s="4"/>
      <c r="AH14" s="4"/>
      <c r="AI14" s="4"/>
    </row>
  </sheetData>
  <hyperlinks>
    <hyperlink ref="A1" r:id="rId1" location="#'P-00 INDEX'!A1"/>
    <hyperlink ref="E5" r:id="rId2"/>
    <hyperlink ref="E6" r:id="rId3"/>
    <hyperlink ref="E7" r:id="rId4"/>
    <hyperlink ref="E8" r:id="rId5"/>
    <hyperlink ref="E9" r:id="rId6"/>
    <hyperlink ref="E10" r:id="rId7"/>
    <hyperlink ref="E11" r:id="rId8"/>
    <hyperlink ref="E12" r:id="rId9"/>
    <hyperlink ref="E13" r:id="rId10"/>
    <hyperlink ref="E14" r:id="rId11"/>
  </hyperlink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
  <sheetViews>
    <sheetView workbookViewId="0"/>
  </sheetViews>
  <sheetFormatPr defaultRowHeight="15" outlineLevelRow="0" outlineLevelCol="0" x14ac:dyDescent="55"/>
  <cols>
    <col min="1" max="1" width="63" customWidth="1"/>
    <col min="2" max="2" width="15" customWidth="1"/>
    <col min="3" max="3" width="18" customWidth="1"/>
    <col min="4" max="4" width="42" customWidth="1"/>
    <col min="5" max="5" width="39" customWidth="1"/>
    <col min="6" max="6" width="15" customWidth="1"/>
    <col min="7" max="7" width="43" customWidth="1"/>
    <col min="8" max="8" width="49" customWidth="1"/>
    <col min="9" max="9" width="24" customWidth="1"/>
    <col min="10" max="10" width="20" customWidth="1"/>
    <col min="11" max="11" width="35" customWidth="1"/>
    <col min="12" max="12" width="19" customWidth="1"/>
    <col min="13" max="14" width="15" customWidth="1"/>
    <col min="15" max="15" width="19" customWidth="1"/>
    <col min="16" max="16" width="63" customWidth="1"/>
    <col min="17" max="35" width="15" customWidth="1"/>
  </cols>
  <sheetData>
    <row r="1" ht="24" customHeight="1" spans="1:35" x14ac:dyDescent="0.25">
      <c r="A1" s="8" t="s">
        <v>117</v>
      </c>
    </row>
    <row r="2" spans="1:35" x14ac:dyDescent="0.25">
      <c r="A2" s="1" t="s">
        <v>790</v>
      </c>
    </row>
    <row r="4" ht="26" customHeight="1" spans="1:35" s="3" customFormat="1" x14ac:dyDescent="0.25">
      <c r="A4" s="3" t="s">
        <v>2</v>
      </c>
      <c r="B4" s="3" t="s">
        <v>791</v>
      </c>
      <c r="C4" s="3" t="s">
        <v>792</v>
      </c>
      <c r="D4" s="3" t="s">
        <v>793</v>
      </c>
      <c r="E4" s="3" t="s">
        <v>794</v>
      </c>
      <c r="F4" s="3" t="s">
        <v>795</v>
      </c>
      <c r="G4" s="3" t="s">
        <v>796</v>
      </c>
      <c r="H4" s="3" t="s">
        <v>797</v>
      </c>
      <c r="I4" s="3" t="s">
        <v>798</v>
      </c>
      <c r="J4" s="3" t="s">
        <v>257</v>
      </c>
      <c r="K4" s="3" t="s">
        <v>799</v>
      </c>
      <c r="L4" s="3" t="s">
        <v>529</v>
      </c>
      <c r="M4" s="3" t="s">
        <v>800</v>
      </c>
      <c r="N4" s="3" t="s">
        <v>801</v>
      </c>
      <c r="O4" s="3" t="s">
        <v>260</v>
      </c>
      <c r="P4" s="3" t="s">
        <v>716</v>
      </c>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802</v>
      </c>
      <c r="C5" s="4" t="s">
        <v>548</v>
      </c>
      <c r="D5" s="4" t="s">
        <v>803</v>
      </c>
      <c r="E5" s="4" t="s">
        <v>185</v>
      </c>
      <c r="F5" s="4" t="s">
        <v>804</v>
      </c>
      <c r="G5" s="4" t="s">
        <v>805</v>
      </c>
      <c r="H5" s="4" t="s">
        <v>806</v>
      </c>
      <c r="I5" s="4" t="s">
        <v>807</v>
      </c>
      <c r="J5" s="4" t="s">
        <v>614</v>
      </c>
      <c r="K5" s="4" t="s">
        <v>808</v>
      </c>
      <c r="L5" s="4" t="s">
        <v>809</v>
      </c>
      <c r="M5" s="4" t="s">
        <v>549</v>
      </c>
      <c r="N5" s="4" t="s">
        <v>285</v>
      </c>
      <c r="O5" s="4" t="s">
        <v>810</v>
      </c>
      <c r="P5" s="4" t="s">
        <v>811</v>
      </c>
      <c r="Q5" s="4"/>
      <c r="R5" s="4"/>
      <c r="S5" s="4"/>
      <c r="T5" s="4"/>
      <c r="U5" s="4"/>
      <c r="V5" s="4"/>
      <c r="W5" s="4"/>
      <c r="X5" s="4"/>
      <c r="Y5" s="4"/>
      <c r="Z5" s="4"/>
      <c r="AA5" s="4"/>
      <c r="AB5" s="4"/>
      <c r="AC5" s="4"/>
      <c r="AD5" s="4"/>
      <c r="AE5" s="4"/>
      <c r="AF5" s="4"/>
      <c r="AG5" s="4"/>
      <c r="AH5" s="4"/>
      <c r="AI5"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1"/>
  <sheetViews>
    <sheetView workbookViewId="0"/>
  </sheetViews>
  <sheetFormatPr defaultRowHeight="15" outlineLevelRow="0" outlineLevelCol="0" x14ac:dyDescent="55"/>
  <cols>
    <col min="1" max="1" width="63" customWidth="1"/>
    <col min="2" max="2" width="33" customWidth="1"/>
    <col min="3" max="3" width="57" customWidth="1"/>
    <col min="4" max="4" width="15" customWidth="1"/>
    <col min="5" max="5" width="55" customWidth="1"/>
    <col min="6" max="7" width="63" customWidth="1"/>
    <col min="8" max="9" width="29" customWidth="1"/>
    <col min="10" max="15" width="63" customWidth="1"/>
    <col min="16" max="16" width="39" customWidth="1"/>
    <col min="17" max="17" width="23" customWidth="1"/>
    <col min="18" max="18" width="16" customWidth="1"/>
    <col min="19" max="19" width="17" customWidth="1"/>
    <col min="20" max="20" width="23" customWidth="1"/>
    <col min="21" max="21" width="18" customWidth="1"/>
    <col min="22" max="22" width="16" customWidth="1"/>
    <col min="23" max="23" width="15" customWidth="1"/>
    <col min="24" max="24" width="43" customWidth="1"/>
    <col min="25" max="25" width="18" customWidth="1"/>
    <col min="26" max="26" width="15" customWidth="1"/>
    <col min="27" max="27" width="18" customWidth="1"/>
    <col min="28" max="28" width="63" customWidth="1"/>
    <col min="29" max="29" width="15" customWidth="1"/>
    <col min="30" max="30" width="21" customWidth="1"/>
    <col min="31" max="31" width="16" customWidth="1"/>
    <col min="32" max="35" width="15" customWidth="1"/>
  </cols>
  <sheetData>
    <row r="1" ht="24" customHeight="1" spans="1:35" x14ac:dyDescent="0.25">
      <c r="A1" s="8" t="s">
        <v>117</v>
      </c>
      <c r="B1" s="8" t="s">
        <v>812</v>
      </c>
    </row>
    <row r="2" spans="1:35" x14ac:dyDescent="0.25">
      <c r="A2" s="1" t="s">
        <v>813</v>
      </c>
    </row>
    <row r="4" ht="26" customHeight="1" spans="1:35" s="11" customFormat="1" x14ac:dyDescent="0.25">
      <c r="A4" s="11" t="s">
        <v>2</v>
      </c>
      <c r="B4" s="11" t="s">
        <v>254</v>
      </c>
      <c r="C4" s="11" t="s">
        <v>255</v>
      </c>
      <c r="D4" s="11" t="s">
        <v>256</v>
      </c>
      <c r="E4" s="11" t="s">
        <v>814</v>
      </c>
      <c r="F4" s="11" t="s">
        <v>815</v>
      </c>
      <c r="G4" s="11" t="s">
        <v>261</v>
      </c>
      <c r="H4" s="11" t="s">
        <v>816</v>
      </c>
      <c r="I4" s="11" t="s">
        <v>817</v>
      </c>
      <c r="J4" s="11" t="s">
        <v>818</v>
      </c>
      <c r="K4" s="11" t="s">
        <v>819</v>
      </c>
      <c r="L4" s="11" t="s">
        <v>820</v>
      </c>
      <c r="M4" s="11" t="s">
        <v>821</v>
      </c>
      <c r="N4" s="11" t="s">
        <v>822</v>
      </c>
      <c r="O4" s="11" t="s">
        <v>823</v>
      </c>
      <c r="P4" s="11" t="s">
        <v>824</v>
      </c>
      <c r="Q4" s="11" t="s">
        <v>825</v>
      </c>
      <c r="R4" s="11" t="s">
        <v>826</v>
      </c>
      <c r="S4" s="11" t="s">
        <v>827</v>
      </c>
      <c r="T4" s="11" t="s">
        <v>828</v>
      </c>
      <c r="U4" s="11" t="s">
        <v>264</v>
      </c>
      <c r="V4" s="11" t="s">
        <v>829</v>
      </c>
      <c r="W4" s="11" t="s">
        <v>265</v>
      </c>
      <c r="X4" s="11" t="s">
        <v>539</v>
      </c>
      <c r="Y4" s="11" t="s">
        <v>830</v>
      </c>
      <c r="Z4" s="11" t="s">
        <v>531</v>
      </c>
      <c r="AA4" s="11" t="s">
        <v>831</v>
      </c>
      <c r="AB4" s="11" t="s">
        <v>832</v>
      </c>
      <c r="AC4" s="11" t="s">
        <v>833</v>
      </c>
      <c r="AD4" s="11" t="s">
        <v>834</v>
      </c>
      <c r="AE4" s="11" t="s">
        <v>268</v>
      </c>
      <c r="AF4" s="11"/>
      <c r="AG4" s="11"/>
      <c r="AH4" s="11"/>
      <c r="AI4" s="11"/>
    </row>
    <row r="5" ht="24" customHeight="1" spans="1:35" s="4" customFormat="1" x14ac:dyDescent="0.25">
      <c r="A5" s="4">
        <v>1</v>
      </c>
      <c r="B5" s="4" t="s">
        <v>274</v>
      </c>
      <c r="C5" s="4" t="s">
        <v>275</v>
      </c>
      <c r="D5" s="4" t="s">
        <v>276</v>
      </c>
      <c r="E5" s="5" t="s">
        <v>277</v>
      </c>
      <c r="F5" s="4" t="s">
        <v>835</v>
      </c>
      <c r="G5" s="4" t="s">
        <v>281</v>
      </c>
      <c r="H5" s="4" t="s">
        <v>836</v>
      </c>
      <c r="I5" s="4" t="s">
        <v>837</v>
      </c>
      <c r="J5" s="4" t="s">
        <v>838</v>
      </c>
      <c r="K5" s="4" t="s">
        <v>839</v>
      </c>
      <c r="L5" s="4" t="s">
        <v>840</v>
      </c>
      <c r="M5" s="4" t="s">
        <v>841</v>
      </c>
      <c r="N5" s="4" t="s">
        <v>842</v>
      </c>
      <c r="O5" s="4" t="s">
        <v>835</v>
      </c>
      <c r="P5" s="4" t="s">
        <v>843</v>
      </c>
      <c r="Q5" s="4" t="s">
        <v>282</v>
      </c>
      <c r="R5" s="4" t="s">
        <v>282</v>
      </c>
      <c r="S5" s="4" t="s">
        <v>282</v>
      </c>
      <c r="T5" s="4" t="s">
        <v>282</v>
      </c>
      <c r="U5" s="4" t="s">
        <v>282</v>
      </c>
      <c r="V5" s="4" t="s">
        <v>282</v>
      </c>
      <c r="W5" s="4" t="s">
        <v>282</v>
      </c>
      <c r="X5" s="4" t="s">
        <v>844</v>
      </c>
      <c r="Y5" s="4" t="s">
        <v>845</v>
      </c>
      <c r="Z5" s="4" t="s">
        <v>546</v>
      </c>
      <c r="AA5" s="12" t="s">
        <v>286</v>
      </c>
      <c r="AB5" s="4" t="s">
        <v>846</v>
      </c>
      <c r="AC5" s="4" t="s">
        <v>282</v>
      </c>
      <c r="AD5" s="4" t="s">
        <v>279</v>
      </c>
      <c r="AE5" s="4" t="s">
        <v>285</v>
      </c>
      <c r="AF5" s="4"/>
      <c r="AG5" s="4"/>
      <c r="AH5" s="4"/>
      <c r="AI5" s="4"/>
    </row>
    <row r="6" ht="24" customHeight="1" spans="1:35" s="4" customFormat="1" x14ac:dyDescent="0.25">
      <c r="A6" s="6">
        <v>2</v>
      </c>
      <c r="B6" s="6" t="s">
        <v>289</v>
      </c>
      <c r="C6" s="6" t="s">
        <v>290</v>
      </c>
      <c r="D6" s="6" t="s">
        <v>276</v>
      </c>
      <c r="E6" s="7" t="s">
        <v>291</v>
      </c>
      <c r="F6" s="6" t="s">
        <v>847</v>
      </c>
      <c r="G6" s="6" t="s">
        <v>293</v>
      </c>
      <c r="H6" s="6" t="s">
        <v>836</v>
      </c>
      <c r="I6" s="6" t="s">
        <v>837</v>
      </c>
      <c r="J6" s="6" t="s">
        <v>848</v>
      </c>
      <c r="K6" s="6" t="s">
        <v>849</v>
      </c>
      <c r="L6" s="6" t="s">
        <v>850</v>
      </c>
      <c r="M6" s="6" t="s">
        <v>841</v>
      </c>
      <c r="N6" s="6" t="s">
        <v>851</v>
      </c>
      <c r="O6" s="6" t="s">
        <v>847</v>
      </c>
      <c r="P6" s="6" t="s">
        <v>843</v>
      </c>
      <c r="Q6" s="6" t="s">
        <v>282</v>
      </c>
      <c r="R6" s="6" t="s">
        <v>282</v>
      </c>
      <c r="S6" s="6" t="s">
        <v>282</v>
      </c>
      <c r="T6" s="6" t="s">
        <v>282</v>
      </c>
      <c r="U6" s="6" t="s">
        <v>282</v>
      </c>
      <c r="V6" s="6" t="s">
        <v>282</v>
      </c>
      <c r="W6" s="6" t="s">
        <v>282</v>
      </c>
      <c r="X6" s="6" t="s">
        <v>844</v>
      </c>
      <c r="Y6" s="6" t="s">
        <v>845</v>
      </c>
      <c r="Z6" s="6" t="s">
        <v>546</v>
      </c>
      <c r="AA6" s="13" t="s">
        <v>286</v>
      </c>
      <c r="AB6" s="6" t="s">
        <v>846</v>
      </c>
      <c r="AC6" s="6" t="s">
        <v>282</v>
      </c>
      <c r="AD6" s="6" t="s">
        <v>279</v>
      </c>
      <c r="AE6" s="6" t="s">
        <v>285</v>
      </c>
      <c r="AF6" s="4"/>
      <c r="AG6" s="4"/>
      <c r="AH6" s="4"/>
      <c r="AI6" s="4"/>
    </row>
    <row r="7" ht="24" customHeight="1" spans="1:35" s="4" customFormat="1" x14ac:dyDescent="0.25">
      <c r="A7" s="4">
        <v>3</v>
      </c>
      <c r="B7" s="4" t="s">
        <v>294</v>
      </c>
      <c r="C7" s="4" t="s">
        <v>295</v>
      </c>
      <c r="D7" s="4" t="s">
        <v>276</v>
      </c>
      <c r="E7" s="5" t="s">
        <v>296</v>
      </c>
      <c r="F7" s="4" t="s">
        <v>852</v>
      </c>
      <c r="G7" s="4" t="s">
        <v>298</v>
      </c>
      <c r="H7" s="4" t="s">
        <v>836</v>
      </c>
      <c r="I7" s="4" t="s">
        <v>837</v>
      </c>
      <c r="J7" s="4" t="s">
        <v>853</v>
      </c>
      <c r="K7" s="4" t="s">
        <v>854</v>
      </c>
      <c r="L7" s="4" t="s">
        <v>855</v>
      </c>
      <c r="M7" s="4" t="s">
        <v>841</v>
      </c>
      <c r="N7" s="4" t="s">
        <v>856</v>
      </c>
      <c r="O7" s="4" t="s">
        <v>852</v>
      </c>
      <c r="P7" s="4" t="s">
        <v>843</v>
      </c>
      <c r="Q7" s="4" t="s">
        <v>282</v>
      </c>
      <c r="R7" s="4" t="s">
        <v>282</v>
      </c>
      <c r="S7" s="4" t="s">
        <v>282</v>
      </c>
      <c r="T7" s="4" t="s">
        <v>282</v>
      </c>
      <c r="U7" s="4" t="s">
        <v>282</v>
      </c>
      <c r="V7" s="4" t="s">
        <v>282</v>
      </c>
      <c r="W7" s="4" t="s">
        <v>282</v>
      </c>
      <c r="X7" s="4" t="s">
        <v>844</v>
      </c>
      <c r="Y7" s="4" t="s">
        <v>845</v>
      </c>
      <c r="Z7" s="4" t="s">
        <v>546</v>
      </c>
      <c r="AA7" s="12" t="s">
        <v>286</v>
      </c>
      <c r="AB7" s="4" t="s">
        <v>846</v>
      </c>
      <c r="AC7" s="4" t="s">
        <v>282</v>
      </c>
      <c r="AD7" s="4" t="s">
        <v>279</v>
      </c>
      <c r="AE7" s="4" t="s">
        <v>285</v>
      </c>
      <c r="AF7" s="4"/>
      <c r="AG7" s="4"/>
      <c r="AH7" s="4"/>
      <c r="AI7" s="4"/>
    </row>
    <row r="8" ht="24" customHeight="1" spans="1:35" s="4" customFormat="1" x14ac:dyDescent="0.25">
      <c r="A8" s="6">
        <v>4</v>
      </c>
      <c r="B8" s="6" t="s">
        <v>299</v>
      </c>
      <c r="C8" s="6" t="s">
        <v>300</v>
      </c>
      <c r="D8" s="6" t="s">
        <v>276</v>
      </c>
      <c r="E8" s="7" t="s">
        <v>301</v>
      </c>
      <c r="F8" s="6" t="s">
        <v>857</v>
      </c>
      <c r="G8" s="6" t="s">
        <v>303</v>
      </c>
      <c r="H8" s="6" t="s">
        <v>836</v>
      </c>
      <c r="I8" s="6" t="s">
        <v>837</v>
      </c>
      <c r="J8" s="6" t="s">
        <v>858</v>
      </c>
      <c r="K8" s="6" t="s">
        <v>859</v>
      </c>
      <c r="L8" s="6" t="s">
        <v>860</v>
      </c>
      <c r="M8" s="6" t="s">
        <v>841</v>
      </c>
      <c r="N8" s="6" t="s">
        <v>861</v>
      </c>
      <c r="O8" s="6" t="s">
        <v>857</v>
      </c>
      <c r="P8" s="6" t="s">
        <v>843</v>
      </c>
      <c r="Q8" s="6" t="s">
        <v>282</v>
      </c>
      <c r="R8" s="6" t="s">
        <v>282</v>
      </c>
      <c r="S8" s="6" t="s">
        <v>282</v>
      </c>
      <c r="T8" s="6" t="s">
        <v>282</v>
      </c>
      <c r="U8" s="6" t="s">
        <v>282</v>
      </c>
      <c r="V8" s="6" t="s">
        <v>282</v>
      </c>
      <c r="W8" s="6" t="s">
        <v>282</v>
      </c>
      <c r="X8" s="6" t="s">
        <v>844</v>
      </c>
      <c r="Y8" s="6" t="s">
        <v>845</v>
      </c>
      <c r="Z8" s="6" t="s">
        <v>546</v>
      </c>
      <c r="AA8" s="13" t="s">
        <v>286</v>
      </c>
      <c r="AB8" s="6" t="s">
        <v>846</v>
      </c>
      <c r="AC8" s="6" t="s">
        <v>282</v>
      </c>
      <c r="AD8" s="6" t="s">
        <v>279</v>
      </c>
      <c r="AE8" s="6" t="s">
        <v>285</v>
      </c>
      <c r="AF8" s="4"/>
      <c r="AG8" s="4"/>
      <c r="AH8" s="4"/>
      <c r="AI8" s="4"/>
    </row>
    <row r="9" ht="24" customHeight="1" spans="1:35" s="4" customFormat="1" x14ac:dyDescent="0.25">
      <c r="A9" s="4">
        <v>5</v>
      </c>
      <c r="B9" s="4" t="s">
        <v>304</v>
      </c>
      <c r="C9" s="4" t="s">
        <v>305</v>
      </c>
      <c r="D9" s="4" t="s">
        <v>276</v>
      </c>
      <c r="E9" s="5" t="s">
        <v>306</v>
      </c>
      <c r="F9" s="4" t="s">
        <v>862</v>
      </c>
      <c r="G9" s="4" t="s">
        <v>308</v>
      </c>
      <c r="H9" s="4" t="s">
        <v>836</v>
      </c>
      <c r="I9" s="4" t="s">
        <v>837</v>
      </c>
      <c r="J9" s="4" t="s">
        <v>863</v>
      </c>
      <c r="K9" s="4" t="s">
        <v>864</v>
      </c>
      <c r="L9" s="4" t="s">
        <v>865</v>
      </c>
      <c r="M9" s="4" t="s">
        <v>841</v>
      </c>
      <c r="N9" s="4" t="s">
        <v>866</v>
      </c>
      <c r="O9" s="4" t="s">
        <v>862</v>
      </c>
      <c r="P9" s="4" t="s">
        <v>843</v>
      </c>
      <c r="Q9" s="4" t="s">
        <v>282</v>
      </c>
      <c r="R9" s="4" t="s">
        <v>282</v>
      </c>
      <c r="S9" s="4" t="s">
        <v>282</v>
      </c>
      <c r="T9" s="4" t="s">
        <v>282</v>
      </c>
      <c r="U9" s="4" t="s">
        <v>282</v>
      </c>
      <c r="V9" s="4" t="s">
        <v>282</v>
      </c>
      <c r="W9" s="4" t="s">
        <v>282</v>
      </c>
      <c r="X9" s="4" t="s">
        <v>844</v>
      </c>
      <c r="Y9" s="4" t="s">
        <v>845</v>
      </c>
      <c r="Z9" s="4" t="s">
        <v>546</v>
      </c>
      <c r="AA9" s="12" t="s">
        <v>286</v>
      </c>
      <c r="AB9" s="4" t="s">
        <v>846</v>
      </c>
      <c r="AC9" s="4" t="s">
        <v>282</v>
      </c>
      <c r="AD9" s="4" t="s">
        <v>279</v>
      </c>
      <c r="AE9" s="4" t="s">
        <v>285</v>
      </c>
      <c r="AF9" s="4"/>
      <c r="AG9" s="4"/>
      <c r="AH9" s="4"/>
      <c r="AI9" s="4"/>
    </row>
    <row r="10" ht="24" customHeight="1" spans="1:35" s="4" customFormat="1" x14ac:dyDescent="0.25">
      <c r="A10" s="6">
        <v>6</v>
      </c>
      <c r="B10" s="6" t="s">
        <v>309</v>
      </c>
      <c r="C10" s="6" t="s">
        <v>310</v>
      </c>
      <c r="D10" s="6" t="s">
        <v>276</v>
      </c>
      <c r="E10" s="7" t="s">
        <v>311</v>
      </c>
      <c r="F10" s="6" t="s">
        <v>867</v>
      </c>
      <c r="G10" s="6" t="s">
        <v>313</v>
      </c>
      <c r="H10" s="6" t="s">
        <v>836</v>
      </c>
      <c r="I10" s="6" t="s">
        <v>837</v>
      </c>
      <c r="J10" s="6" t="s">
        <v>868</v>
      </c>
      <c r="K10" s="6" t="s">
        <v>869</v>
      </c>
      <c r="L10" s="6" t="s">
        <v>870</v>
      </c>
      <c r="M10" s="6" t="s">
        <v>841</v>
      </c>
      <c r="N10" s="6" t="s">
        <v>871</v>
      </c>
      <c r="O10" s="6" t="s">
        <v>867</v>
      </c>
      <c r="P10" s="6" t="s">
        <v>843</v>
      </c>
      <c r="Q10" s="6" t="s">
        <v>282</v>
      </c>
      <c r="R10" s="6" t="s">
        <v>282</v>
      </c>
      <c r="S10" s="6" t="s">
        <v>282</v>
      </c>
      <c r="T10" s="6" t="s">
        <v>282</v>
      </c>
      <c r="U10" s="6" t="s">
        <v>282</v>
      </c>
      <c r="V10" s="6" t="s">
        <v>282</v>
      </c>
      <c r="W10" s="6" t="s">
        <v>282</v>
      </c>
      <c r="X10" s="6" t="s">
        <v>844</v>
      </c>
      <c r="Y10" s="6" t="s">
        <v>845</v>
      </c>
      <c r="Z10" s="6" t="s">
        <v>546</v>
      </c>
      <c r="AA10" s="13" t="s">
        <v>286</v>
      </c>
      <c r="AB10" s="6" t="s">
        <v>846</v>
      </c>
      <c r="AC10" s="6" t="s">
        <v>282</v>
      </c>
      <c r="AD10" s="6" t="s">
        <v>279</v>
      </c>
      <c r="AE10" s="6" t="s">
        <v>285</v>
      </c>
      <c r="AF10" s="4"/>
      <c r="AG10" s="4"/>
      <c r="AH10" s="4"/>
      <c r="AI10" s="4"/>
    </row>
    <row r="11" ht="24" customHeight="1" spans="1:35" s="4" customFormat="1" x14ac:dyDescent="0.25">
      <c r="A11" s="4">
        <v>7</v>
      </c>
      <c r="B11" s="4" t="s">
        <v>314</v>
      </c>
      <c r="C11" s="4" t="s">
        <v>315</v>
      </c>
      <c r="D11" s="4" t="s">
        <v>276</v>
      </c>
      <c r="E11" s="5" t="s">
        <v>316</v>
      </c>
      <c r="F11" s="4" t="s">
        <v>872</v>
      </c>
      <c r="G11" s="4" t="s">
        <v>318</v>
      </c>
      <c r="H11" s="4" t="s">
        <v>836</v>
      </c>
      <c r="I11" s="4" t="s">
        <v>837</v>
      </c>
      <c r="J11" s="4" t="s">
        <v>873</v>
      </c>
      <c r="K11" s="4" t="s">
        <v>874</v>
      </c>
      <c r="L11" s="4" t="s">
        <v>875</v>
      </c>
      <c r="M11" s="4" t="s">
        <v>841</v>
      </c>
      <c r="N11" s="4" t="s">
        <v>876</v>
      </c>
      <c r="O11" s="4" t="s">
        <v>872</v>
      </c>
      <c r="P11" s="4" t="s">
        <v>843</v>
      </c>
      <c r="Q11" s="4" t="s">
        <v>282</v>
      </c>
      <c r="R11" s="4" t="s">
        <v>282</v>
      </c>
      <c r="S11" s="4" t="s">
        <v>282</v>
      </c>
      <c r="T11" s="4" t="s">
        <v>282</v>
      </c>
      <c r="U11" s="4" t="s">
        <v>282</v>
      </c>
      <c r="V11" s="4" t="s">
        <v>282</v>
      </c>
      <c r="W11" s="4" t="s">
        <v>282</v>
      </c>
      <c r="X11" s="4" t="s">
        <v>844</v>
      </c>
      <c r="Y11" s="4" t="s">
        <v>845</v>
      </c>
      <c r="Z11" s="4" t="s">
        <v>546</v>
      </c>
      <c r="AA11" s="12" t="s">
        <v>286</v>
      </c>
      <c r="AB11" s="4" t="s">
        <v>846</v>
      </c>
      <c r="AC11" s="4" t="s">
        <v>282</v>
      </c>
      <c r="AD11" s="4" t="s">
        <v>279</v>
      </c>
      <c r="AE11" s="4" t="s">
        <v>285</v>
      </c>
      <c r="AF11" s="4"/>
      <c r="AG11" s="4"/>
      <c r="AH11" s="4"/>
      <c r="AI11" s="4"/>
    </row>
    <row r="12" ht="24" customHeight="1" spans="1:35" s="4" customFormat="1" x14ac:dyDescent="0.25">
      <c r="A12" s="6">
        <v>8</v>
      </c>
      <c r="B12" s="6" t="s">
        <v>319</v>
      </c>
      <c r="C12" s="6" t="s">
        <v>320</v>
      </c>
      <c r="D12" s="6" t="s">
        <v>321</v>
      </c>
      <c r="E12" s="7" t="s">
        <v>322</v>
      </c>
      <c r="F12" s="6" t="s">
        <v>877</v>
      </c>
      <c r="G12" s="6" t="s">
        <v>324</v>
      </c>
      <c r="H12" s="6" t="s">
        <v>836</v>
      </c>
      <c r="I12" s="6" t="s">
        <v>837</v>
      </c>
      <c r="J12" s="6" t="s">
        <v>878</v>
      </c>
      <c r="K12" s="6" t="s">
        <v>879</v>
      </c>
      <c r="L12" s="6" t="s">
        <v>880</v>
      </c>
      <c r="M12" s="6" t="s">
        <v>841</v>
      </c>
      <c r="N12" s="6" t="s">
        <v>881</v>
      </c>
      <c r="O12" s="6" t="s">
        <v>877</v>
      </c>
      <c r="P12" s="6" t="s">
        <v>843</v>
      </c>
      <c r="Q12" s="6" t="s">
        <v>282</v>
      </c>
      <c r="R12" s="6" t="s">
        <v>282</v>
      </c>
      <c r="S12" s="6" t="s">
        <v>282</v>
      </c>
      <c r="T12" s="6" t="s">
        <v>282</v>
      </c>
      <c r="U12" s="6" t="s">
        <v>282</v>
      </c>
      <c r="V12" s="6" t="s">
        <v>282</v>
      </c>
      <c r="W12" s="6" t="s">
        <v>282</v>
      </c>
      <c r="X12" s="6" t="s">
        <v>844</v>
      </c>
      <c r="Y12" s="6" t="s">
        <v>845</v>
      </c>
      <c r="Z12" s="6" t="s">
        <v>546</v>
      </c>
      <c r="AA12" s="13" t="s">
        <v>286</v>
      </c>
      <c r="AB12" s="6" t="s">
        <v>846</v>
      </c>
      <c r="AC12" s="6" t="s">
        <v>282</v>
      </c>
      <c r="AD12" s="6" t="s">
        <v>279</v>
      </c>
      <c r="AE12" s="6" t="s">
        <v>285</v>
      </c>
      <c r="AF12" s="4"/>
      <c r="AG12" s="4"/>
      <c r="AH12" s="4"/>
      <c r="AI12" s="4"/>
    </row>
    <row r="13" ht="24" customHeight="1" spans="1:35" s="4" customFormat="1" x14ac:dyDescent="0.25">
      <c r="A13" s="4">
        <v>9</v>
      </c>
      <c r="B13" s="4" t="s">
        <v>325</v>
      </c>
      <c r="C13" s="4" t="s">
        <v>326</v>
      </c>
      <c r="D13" s="4" t="s">
        <v>321</v>
      </c>
      <c r="E13" s="5" t="s">
        <v>327</v>
      </c>
      <c r="F13" s="4" t="s">
        <v>882</v>
      </c>
      <c r="G13" s="4" t="s">
        <v>329</v>
      </c>
      <c r="H13" s="4" t="s">
        <v>836</v>
      </c>
      <c r="I13" s="4" t="s">
        <v>837</v>
      </c>
      <c r="J13" s="4" t="s">
        <v>883</v>
      </c>
      <c r="K13" s="4" t="s">
        <v>884</v>
      </c>
      <c r="L13" s="4" t="s">
        <v>885</v>
      </c>
      <c r="M13" s="4" t="s">
        <v>841</v>
      </c>
      <c r="N13" s="4" t="s">
        <v>886</v>
      </c>
      <c r="O13" s="4" t="s">
        <v>882</v>
      </c>
      <c r="P13" s="4" t="s">
        <v>843</v>
      </c>
      <c r="Q13" s="4" t="s">
        <v>282</v>
      </c>
      <c r="R13" s="4" t="s">
        <v>282</v>
      </c>
      <c r="S13" s="4" t="s">
        <v>282</v>
      </c>
      <c r="T13" s="4" t="s">
        <v>282</v>
      </c>
      <c r="U13" s="4" t="s">
        <v>282</v>
      </c>
      <c r="V13" s="4" t="s">
        <v>282</v>
      </c>
      <c r="W13" s="4" t="s">
        <v>282</v>
      </c>
      <c r="X13" s="4" t="s">
        <v>844</v>
      </c>
      <c r="Y13" s="4" t="s">
        <v>845</v>
      </c>
      <c r="Z13" s="4" t="s">
        <v>546</v>
      </c>
      <c r="AA13" s="12" t="s">
        <v>286</v>
      </c>
      <c r="AB13" s="4" t="s">
        <v>846</v>
      </c>
      <c r="AC13" s="4" t="s">
        <v>282</v>
      </c>
      <c r="AD13" s="4" t="s">
        <v>279</v>
      </c>
      <c r="AE13" s="4" t="s">
        <v>285</v>
      </c>
      <c r="AF13" s="4"/>
      <c r="AG13" s="4"/>
      <c r="AH13" s="4"/>
      <c r="AI13" s="4"/>
    </row>
    <row r="14" ht="24" customHeight="1" spans="1:35" s="4" customFormat="1" x14ac:dyDescent="0.25">
      <c r="A14" s="6">
        <v>10</v>
      </c>
      <c r="B14" s="6" t="s">
        <v>330</v>
      </c>
      <c r="C14" s="6" t="s">
        <v>331</v>
      </c>
      <c r="D14" s="6" t="s">
        <v>321</v>
      </c>
      <c r="E14" s="7" t="s">
        <v>332</v>
      </c>
      <c r="F14" s="6" t="s">
        <v>887</v>
      </c>
      <c r="G14" s="6" t="s">
        <v>334</v>
      </c>
      <c r="H14" s="6" t="s">
        <v>836</v>
      </c>
      <c r="I14" s="6" t="s">
        <v>837</v>
      </c>
      <c r="J14" s="6" t="s">
        <v>888</v>
      </c>
      <c r="K14" s="6" t="s">
        <v>889</v>
      </c>
      <c r="L14" s="6" t="s">
        <v>890</v>
      </c>
      <c r="M14" s="6" t="s">
        <v>841</v>
      </c>
      <c r="N14" s="6" t="s">
        <v>891</v>
      </c>
      <c r="O14" s="6" t="s">
        <v>887</v>
      </c>
      <c r="P14" s="6" t="s">
        <v>843</v>
      </c>
      <c r="Q14" s="6" t="s">
        <v>282</v>
      </c>
      <c r="R14" s="6" t="s">
        <v>282</v>
      </c>
      <c r="S14" s="6" t="s">
        <v>282</v>
      </c>
      <c r="T14" s="6" t="s">
        <v>282</v>
      </c>
      <c r="U14" s="6" t="s">
        <v>282</v>
      </c>
      <c r="V14" s="6" t="s">
        <v>282</v>
      </c>
      <c r="W14" s="6" t="s">
        <v>282</v>
      </c>
      <c r="X14" s="6" t="s">
        <v>844</v>
      </c>
      <c r="Y14" s="6" t="s">
        <v>845</v>
      </c>
      <c r="Z14" s="6" t="s">
        <v>546</v>
      </c>
      <c r="AA14" s="13" t="s">
        <v>286</v>
      </c>
      <c r="AB14" s="6" t="s">
        <v>846</v>
      </c>
      <c r="AC14" s="6" t="s">
        <v>282</v>
      </c>
      <c r="AD14" s="6" t="s">
        <v>279</v>
      </c>
      <c r="AE14" s="6" t="s">
        <v>285</v>
      </c>
      <c r="AF14" s="4"/>
      <c r="AG14" s="4"/>
      <c r="AH14" s="4"/>
      <c r="AI14" s="4"/>
    </row>
    <row r="15" ht="24" customHeight="1" spans="1:35" s="4" customFormat="1" x14ac:dyDescent="0.25">
      <c r="A15" s="4">
        <v>11</v>
      </c>
      <c r="B15" s="4" t="s">
        <v>335</v>
      </c>
      <c r="C15" s="4" t="s">
        <v>336</v>
      </c>
      <c r="D15" s="4" t="s">
        <v>321</v>
      </c>
      <c r="E15" s="5" t="s">
        <v>337</v>
      </c>
      <c r="F15" s="4" t="s">
        <v>892</v>
      </c>
      <c r="G15" s="4" t="s">
        <v>339</v>
      </c>
      <c r="H15" s="4" t="s">
        <v>836</v>
      </c>
      <c r="I15" s="4" t="s">
        <v>837</v>
      </c>
      <c r="J15" s="4" t="s">
        <v>893</v>
      </c>
      <c r="K15" s="4" t="s">
        <v>894</v>
      </c>
      <c r="L15" s="4" t="s">
        <v>895</v>
      </c>
      <c r="M15" s="4" t="s">
        <v>841</v>
      </c>
      <c r="N15" s="4" t="s">
        <v>896</v>
      </c>
      <c r="O15" s="4" t="s">
        <v>892</v>
      </c>
      <c r="P15" s="4" t="s">
        <v>843</v>
      </c>
      <c r="Q15" s="4" t="s">
        <v>282</v>
      </c>
      <c r="R15" s="4" t="s">
        <v>282</v>
      </c>
      <c r="S15" s="4" t="s">
        <v>282</v>
      </c>
      <c r="T15" s="4" t="s">
        <v>282</v>
      </c>
      <c r="U15" s="4" t="s">
        <v>282</v>
      </c>
      <c r="V15" s="4" t="s">
        <v>282</v>
      </c>
      <c r="W15" s="4" t="s">
        <v>282</v>
      </c>
      <c r="X15" s="4" t="s">
        <v>844</v>
      </c>
      <c r="Y15" s="4" t="s">
        <v>845</v>
      </c>
      <c r="Z15" s="4" t="s">
        <v>546</v>
      </c>
      <c r="AA15" s="12" t="s">
        <v>286</v>
      </c>
      <c r="AB15" s="4" t="s">
        <v>846</v>
      </c>
      <c r="AC15" s="4" t="s">
        <v>282</v>
      </c>
      <c r="AD15" s="4" t="s">
        <v>279</v>
      </c>
      <c r="AE15" s="4" t="s">
        <v>285</v>
      </c>
      <c r="AF15" s="4"/>
      <c r="AG15" s="4"/>
      <c r="AH15" s="4"/>
      <c r="AI15" s="4"/>
    </row>
    <row r="16" ht="24" customHeight="1" spans="1:35" s="4" customFormat="1" x14ac:dyDescent="0.25">
      <c r="A16" s="6">
        <v>12</v>
      </c>
      <c r="B16" s="6" t="s">
        <v>340</v>
      </c>
      <c r="C16" s="6" t="s">
        <v>341</v>
      </c>
      <c r="D16" s="6" t="s">
        <v>321</v>
      </c>
      <c r="E16" s="7" t="s">
        <v>342</v>
      </c>
      <c r="F16" s="6" t="s">
        <v>897</v>
      </c>
      <c r="G16" s="6" t="s">
        <v>344</v>
      </c>
      <c r="H16" s="6" t="s">
        <v>836</v>
      </c>
      <c r="I16" s="6" t="s">
        <v>837</v>
      </c>
      <c r="J16" s="6" t="s">
        <v>898</v>
      </c>
      <c r="K16" s="6" t="s">
        <v>899</v>
      </c>
      <c r="L16" s="6" t="s">
        <v>900</v>
      </c>
      <c r="M16" s="6" t="s">
        <v>841</v>
      </c>
      <c r="N16" s="6" t="s">
        <v>901</v>
      </c>
      <c r="O16" s="6" t="s">
        <v>897</v>
      </c>
      <c r="P16" s="6" t="s">
        <v>843</v>
      </c>
      <c r="Q16" s="6" t="s">
        <v>282</v>
      </c>
      <c r="R16" s="6" t="s">
        <v>282</v>
      </c>
      <c r="S16" s="6" t="s">
        <v>282</v>
      </c>
      <c r="T16" s="6" t="s">
        <v>282</v>
      </c>
      <c r="U16" s="6" t="s">
        <v>282</v>
      </c>
      <c r="V16" s="6" t="s">
        <v>282</v>
      </c>
      <c r="W16" s="6" t="s">
        <v>282</v>
      </c>
      <c r="X16" s="6" t="s">
        <v>844</v>
      </c>
      <c r="Y16" s="6" t="s">
        <v>845</v>
      </c>
      <c r="Z16" s="6" t="s">
        <v>546</v>
      </c>
      <c r="AA16" s="13" t="s">
        <v>286</v>
      </c>
      <c r="AB16" s="6" t="s">
        <v>846</v>
      </c>
      <c r="AC16" s="6" t="s">
        <v>282</v>
      </c>
      <c r="AD16" s="6" t="s">
        <v>279</v>
      </c>
      <c r="AE16" s="6" t="s">
        <v>285</v>
      </c>
      <c r="AF16" s="4"/>
      <c r="AG16" s="4"/>
      <c r="AH16" s="4"/>
      <c r="AI16" s="4"/>
    </row>
    <row r="17" ht="24" customHeight="1" spans="1:35" s="4" customFormat="1" x14ac:dyDescent="0.25">
      <c r="A17" s="4">
        <v>13</v>
      </c>
      <c r="B17" s="4" t="s">
        <v>345</v>
      </c>
      <c r="C17" s="4" t="s">
        <v>346</v>
      </c>
      <c r="D17" s="4" t="s">
        <v>321</v>
      </c>
      <c r="E17" s="5" t="s">
        <v>347</v>
      </c>
      <c r="F17" s="4" t="s">
        <v>902</v>
      </c>
      <c r="G17" s="4" t="s">
        <v>349</v>
      </c>
      <c r="H17" s="4" t="s">
        <v>836</v>
      </c>
      <c r="I17" s="4" t="s">
        <v>837</v>
      </c>
      <c r="J17" s="4" t="s">
        <v>903</v>
      </c>
      <c r="K17" s="4" t="s">
        <v>904</v>
      </c>
      <c r="L17" s="4" t="s">
        <v>905</v>
      </c>
      <c r="M17" s="4" t="s">
        <v>841</v>
      </c>
      <c r="N17" s="4" t="s">
        <v>906</v>
      </c>
      <c r="O17" s="4" t="s">
        <v>902</v>
      </c>
      <c r="P17" s="4" t="s">
        <v>843</v>
      </c>
      <c r="Q17" s="4" t="s">
        <v>282</v>
      </c>
      <c r="R17" s="4" t="s">
        <v>282</v>
      </c>
      <c r="S17" s="4" t="s">
        <v>282</v>
      </c>
      <c r="T17" s="4" t="s">
        <v>282</v>
      </c>
      <c r="U17" s="4" t="s">
        <v>282</v>
      </c>
      <c r="V17" s="4" t="s">
        <v>282</v>
      </c>
      <c r="W17" s="4" t="s">
        <v>282</v>
      </c>
      <c r="X17" s="4" t="s">
        <v>844</v>
      </c>
      <c r="Y17" s="4" t="s">
        <v>845</v>
      </c>
      <c r="Z17" s="4" t="s">
        <v>546</v>
      </c>
      <c r="AA17" s="12" t="s">
        <v>286</v>
      </c>
      <c r="AB17" s="4" t="s">
        <v>846</v>
      </c>
      <c r="AC17" s="4" t="s">
        <v>282</v>
      </c>
      <c r="AD17" s="4" t="s">
        <v>279</v>
      </c>
      <c r="AE17" s="4" t="s">
        <v>285</v>
      </c>
      <c r="AF17" s="4"/>
      <c r="AG17" s="4"/>
      <c r="AH17" s="4"/>
      <c r="AI17" s="4"/>
    </row>
    <row r="18" ht="24" customHeight="1" spans="1:35" s="4" customFormat="1" x14ac:dyDescent="0.25">
      <c r="A18" s="6">
        <v>14</v>
      </c>
      <c r="B18" s="6" t="s">
        <v>350</v>
      </c>
      <c r="C18" s="6" t="s">
        <v>351</v>
      </c>
      <c r="D18" s="6" t="s">
        <v>352</v>
      </c>
      <c r="E18" s="7" t="s">
        <v>353</v>
      </c>
      <c r="F18" s="6" t="s">
        <v>907</v>
      </c>
      <c r="G18" s="6" t="s">
        <v>355</v>
      </c>
      <c r="H18" s="6" t="s">
        <v>836</v>
      </c>
      <c r="I18" s="6" t="s">
        <v>837</v>
      </c>
      <c r="J18" s="6" t="s">
        <v>908</v>
      </c>
      <c r="K18" s="6" t="s">
        <v>909</v>
      </c>
      <c r="L18" s="6" t="s">
        <v>910</v>
      </c>
      <c r="M18" s="6" t="s">
        <v>841</v>
      </c>
      <c r="N18" s="6" t="s">
        <v>911</v>
      </c>
      <c r="O18" s="6" t="s">
        <v>907</v>
      </c>
      <c r="P18" s="6" t="s">
        <v>843</v>
      </c>
      <c r="Q18" s="6" t="s">
        <v>282</v>
      </c>
      <c r="R18" s="6" t="s">
        <v>282</v>
      </c>
      <c r="S18" s="6" t="s">
        <v>282</v>
      </c>
      <c r="T18" s="6" t="s">
        <v>282</v>
      </c>
      <c r="U18" s="6" t="s">
        <v>282</v>
      </c>
      <c r="V18" s="6" t="s">
        <v>282</v>
      </c>
      <c r="W18" s="6" t="s">
        <v>282</v>
      </c>
      <c r="X18" s="6" t="s">
        <v>844</v>
      </c>
      <c r="Y18" s="6" t="s">
        <v>845</v>
      </c>
      <c r="Z18" s="6" t="s">
        <v>546</v>
      </c>
      <c r="AA18" s="13" t="s">
        <v>286</v>
      </c>
      <c r="AB18" s="6" t="s">
        <v>846</v>
      </c>
      <c r="AC18" s="6" t="s">
        <v>282</v>
      </c>
      <c r="AD18" s="6" t="s">
        <v>279</v>
      </c>
      <c r="AE18" s="6" t="s">
        <v>285</v>
      </c>
      <c r="AF18" s="4"/>
      <c r="AG18" s="4"/>
      <c r="AH18" s="4"/>
      <c r="AI18" s="4"/>
    </row>
    <row r="19" ht="24" customHeight="1" spans="1:35" s="4" customFormat="1" x14ac:dyDescent="0.25">
      <c r="A19" s="4">
        <v>15</v>
      </c>
      <c r="B19" s="4" t="s">
        <v>356</v>
      </c>
      <c r="C19" s="4" t="s">
        <v>357</v>
      </c>
      <c r="D19" s="4" t="s">
        <v>352</v>
      </c>
      <c r="E19" s="5" t="s">
        <v>358</v>
      </c>
      <c r="F19" s="4" t="s">
        <v>912</v>
      </c>
      <c r="G19" s="4" t="s">
        <v>360</v>
      </c>
      <c r="H19" s="4" t="s">
        <v>836</v>
      </c>
      <c r="I19" s="4" t="s">
        <v>837</v>
      </c>
      <c r="J19" s="4" t="s">
        <v>913</v>
      </c>
      <c r="K19" s="4" t="s">
        <v>914</v>
      </c>
      <c r="L19" s="4" t="s">
        <v>915</v>
      </c>
      <c r="M19" s="4" t="s">
        <v>841</v>
      </c>
      <c r="N19" s="4" t="s">
        <v>916</v>
      </c>
      <c r="O19" s="4" t="s">
        <v>912</v>
      </c>
      <c r="P19" s="4" t="s">
        <v>843</v>
      </c>
      <c r="Q19" s="4" t="s">
        <v>282</v>
      </c>
      <c r="R19" s="4" t="s">
        <v>282</v>
      </c>
      <c r="S19" s="4" t="s">
        <v>282</v>
      </c>
      <c r="T19" s="4" t="s">
        <v>282</v>
      </c>
      <c r="U19" s="4" t="s">
        <v>282</v>
      </c>
      <c r="V19" s="4" t="s">
        <v>282</v>
      </c>
      <c r="W19" s="4" t="s">
        <v>282</v>
      </c>
      <c r="X19" s="4" t="s">
        <v>844</v>
      </c>
      <c r="Y19" s="4" t="s">
        <v>845</v>
      </c>
      <c r="Z19" s="4" t="s">
        <v>546</v>
      </c>
      <c r="AA19" s="12" t="s">
        <v>286</v>
      </c>
      <c r="AB19" s="4" t="s">
        <v>846</v>
      </c>
      <c r="AC19" s="4" t="s">
        <v>282</v>
      </c>
      <c r="AD19" s="4" t="s">
        <v>279</v>
      </c>
      <c r="AE19" s="4" t="s">
        <v>285</v>
      </c>
      <c r="AF19" s="4"/>
      <c r="AG19" s="4"/>
      <c r="AH19" s="4"/>
      <c r="AI19" s="4"/>
    </row>
    <row r="20" ht="24" customHeight="1" spans="1:35" s="4" customFormat="1" x14ac:dyDescent="0.25">
      <c r="A20" s="6">
        <v>16</v>
      </c>
      <c r="B20" s="6" t="s">
        <v>361</v>
      </c>
      <c r="C20" s="6" t="s">
        <v>362</v>
      </c>
      <c r="D20" s="6" t="s">
        <v>352</v>
      </c>
      <c r="E20" s="7" t="s">
        <v>363</v>
      </c>
      <c r="F20" s="6" t="s">
        <v>917</v>
      </c>
      <c r="G20" s="6" t="s">
        <v>365</v>
      </c>
      <c r="H20" s="6" t="s">
        <v>836</v>
      </c>
      <c r="I20" s="6" t="s">
        <v>837</v>
      </c>
      <c r="J20" s="6" t="s">
        <v>918</v>
      </c>
      <c r="K20" s="6" t="s">
        <v>919</v>
      </c>
      <c r="L20" s="6" t="s">
        <v>920</v>
      </c>
      <c r="M20" s="6" t="s">
        <v>841</v>
      </c>
      <c r="N20" s="6" t="s">
        <v>921</v>
      </c>
      <c r="O20" s="6" t="s">
        <v>917</v>
      </c>
      <c r="P20" s="6" t="s">
        <v>843</v>
      </c>
      <c r="Q20" s="6" t="s">
        <v>282</v>
      </c>
      <c r="R20" s="6" t="s">
        <v>282</v>
      </c>
      <c r="S20" s="6" t="s">
        <v>282</v>
      </c>
      <c r="T20" s="6" t="s">
        <v>282</v>
      </c>
      <c r="U20" s="6" t="s">
        <v>282</v>
      </c>
      <c r="V20" s="6" t="s">
        <v>282</v>
      </c>
      <c r="W20" s="6" t="s">
        <v>282</v>
      </c>
      <c r="X20" s="6" t="s">
        <v>844</v>
      </c>
      <c r="Y20" s="6" t="s">
        <v>845</v>
      </c>
      <c r="Z20" s="6" t="s">
        <v>546</v>
      </c>
      <c r="AA20" s="13" t="s">
        <v>286</v>
      </c>
      <c r="AB20" s="6" t="s">
        <v>846</v>
      </c>
      <c r="AC20" s="6" t="s">
        <v>282</v>
      </c>
      <c r="AD20" s="6" t="s">
        <v>279</v>
      </c>
      <c r="AE20" s="6" t="s">
        <v>285</v>
      </c>
      <c r="AF20" s="4"/>
      <c r="AG20" s="4"/>
      <c r="AH20" s="4"/>
      <c r="AI20" s="4"/>
    </row>
    <row r="21" ht="24" customHeight="1" spans="1:35" s="4" customFormat="1" x14ac:dyDescent="0.25">
      <c r="A21" s="4">
        <v>17</v>
      </c>
      <c r="B21" s="4" t="s">
        <v>366</v>
      </c>
      <c r="C21" s="4" t="s">
        <v>367</v>
      </c>
      <c r="D21" s="4" t="s">
        <v>352</v>
      </c>
      <c r="E21" s="5" t="s">
        <v>368</v>
      </c>
      <c r="F21" s="4" t="s">
        <v>922</v>
      </c>
      <c r="G21" s="4" t="s">
        <v>370</v>
      </c>
      <c r="H21" s="4" t="s">
        <v>836</v>
      </c>
      <c r="I21" s="4" t="s">
        <v>837</v>
      </c>
      <c r="J21" s="4" t="s">
        <v>923</v>
      </c>
      <c r="K21" s="4" t="s">
        <v>924</v>
      </c>
      <c r="L21" s="4" t="s">
        <v>925</v>
      </c>
      <c r="M21" s="4" t="s">
        <v>841</v>
      </c>
      <c r="N21" s="4" t="s">
        <v>926</v>
      </c>
      <c r="O21" s="4" t="s">
        <v>922</v>
      </c>
      <c r="P21" s="4" t="s">
        <v>843</v>
      </c>
      <c r="Q21" s="4" t="s">
        <v>282</v>
      </c>
      <c r="R21" s="4" t="s">
        <v>282</v>
      </c>
      <c r="S21" s="4" t="s">
        <v>282</v>
      </c>
      <c r="T21" s="4" t="s">
        <v>282</v>
      </c>
      <c r="U21" s="4" t="s">
        <v>282</v>
      </c>
      <c r="V21" s="4" t="s">
        <v>282</v>
      </c>
      <c r="W21" s="4" t="s">
        <v>282</v>
      </c>
      <c r="X21" s="4" t="s">
        <v>844</v>
      </c>
      <c r="Y21" s="4" t="s">
        <v>845</v>
      </c>
      <c r="Z21" s="4" t="s">
        <v>546</v>
      </c>
      <c r="AA21" s="12" t="s">
        <v>286</v>
      </c>
      <c r="AB21" s="4" t="s">
        <v>846</v>
      </c>
      <c r="AC21" s="4" t="s">
        <v>282</v>
      </c>
      <c r="AD21" s="4" t="s">
        <v>279</v>
      </c>
      <c r="AE21" s="4" t="s">
        <v>285</v>
      </c>
      <c r="AF21" s="4"/>
      <c r="AG21" s="4"/>
      <c r="AH21" s="4"/>
      <c r="AI21" s="4"/>
    </row>
    <row r="22" ht="24" customHeight="1" spans="1:35" s="4" customFormat="1" x14ac:dyDescent="0.25">
      <c r="A22" s="6">
        <v>18</v>
      </c>
      <c r="B22" s="6" t="s">
        <v>371</v>
      </c>
      <c r="C22" s="6" t="s">
        <v>372</v>
      </c>
      <c r="D22" s="6" t="s">
        <v>352</v>
      </c>
      <c r="E22" s="7" t="s">
        <v>373</v>
      </c>
      <c r="F22" s="6" t="s">
        <v>927</v>
      </c>
      <c r="G22" s="6" t="s">
        <v>375</v>
      </c>
      <c r="H22" s="6" t="s">
        <v>836</v>
      </c>
      <c r="I22" s="6" t="s">
        <v>837</v>
      </c>
      <c r="J22" s="6" t="s">
        <v>928</v>
      </c>
      <c r="K22" s="6" t="s">
        <v>929</v>
      </c>
      <c r="L22" s="6" t="s">
        <v>930</v>
      </c>
      <c r="M22" s="6" t="s">
        <v>841</v>
      </c>
      <c r="N22" s="6" t="s">
        <v>931</v>
      </c>
      <c r="O22" s="6" t="s">
        <v>927</v>
      </c>
      <c r="P22" s="6" t="s">
        <v>843</v>
      </c>
      <c r="Q22" s="6" t="s">
        <v>282</v>
      </c>
      <c r="R22" s="6" t="s">
        <v>282</v>
      </c>
      <c r="S22" s="6" t="s">
        <v>282</v>
      </c>
      <c r="T22" s="6" t="s">
        <v>282</v>
      </c>
      <c r="U22" s="6" t="s">
        <v>282</v>
      </c>
      <c r="V22" s="6" t="s">
        <v>282</v>
      </c>
      <c r="W22" s="6" t="s">
        <v>282</v>
      </c>
      <c r="X22" s="6" t="s">
        <v>844</v>
      </c>
      <c r="Y22" s="6" t="s">
        <v>845</v>
      </c>
      <c r="Z22" s="6" t="s">
        <v>546</v>
      </c>
      <c r="AA22" s="13" t="s">
        <v>286</v>
      </c>
      <c r="AB22" s="6" t="s">
        <v>846</v>
      </c>
      <c r="AC22" s="6" t="s">
        <v>282</v>
      </c>
      <c r="AD22" s="6" t="s">
        <v>279</v>
      </c>
      <c r="AE22" s="6" t="s">
        <v>285</v>
      </c>
      <c r="AF22" s="4"/>
      <c r="AG22" s="4"/>
      <c r="AH22" s="4"/>
      <c r="AI22" s="4"/>
    </row>
    <row r="23" ht="24" customHeight="1" spans="1:35" s="4" customFormat="1" x14ac:dyDescent="0.25">
      <c r="A23" s="4">
        <v>19</v>
      </c>
      <c r="B23" s="4" t="s">
        <v>376</v>
      </c>
      <c r="C23" s="4" t="s">
        <v>377</v>
      </c>
      <c r="D23" s="4" t="s">
        <v>352</v>
      </c>
      <c r="E23" s="5" t="s">
        <v>378</v>
      </c>
      <c r="F23" s="4" t="s">
        <v>932</v>
      </c>
      <c r="G23" s="4" t="s">
        <v>380</v>
      </c>
      <c r="H23" s="4" t="s">
        <v>836</v>
      </c>
      <c r="I23" s="4" t="s">
        <v>837</v>
      </c>
      <c r="J23" s="4" t="s">
        <v>933</v>
      </c>
      <c r="K23" s="4" t="s">
        <v>934</v>
      </c>
      <c r="L23" s="4" t="s">
        <v>935</v>
      </c>
      <c r="M23" s="4" t="s">
        <v>841</v>
      </c>
      <c r="N23" s="4" t="s">
        <v>936</v>
      </c>
      <c r="O23" s="4" t="s">
        <v>932</v>
      </c>
      <c r="P23" s="4" t="s">
        <v>843</v>
      </c>
      <c r="Q23" s="4" t="s">
        <v>282</v>
      </c>
      <c r="R23" s="4" t="s">
        <v>282</v>
      </c>
      <c r="S23" s="4" t="s">
        <v>282</v>
      </c>
      <c r="T23" s="4" t="s">
        <v>282</v>
      </c>
      <c r="U23" s="4" t="s">
        <v>282</v>
      </c>
      <c r="V23" s="4" t="s">
        <v>282</v>
      </c>
      <c r="W23" s="4" t="s">
        <v>282</v>
      </c>
      <c r="X23" s="4" t="s">
        <v>844</v>
      </c>
      <c r="Y23" s="4" t="s">
        <v>845</v>
      </c>
      <c r="Z23" s="4" t="s">
        <v>546</v>
      </c>
      <c r="AA23" s="12" t="s">
        <v>286</v>
      </c>
      <c r="AB23" s="4" t="s">
        <v>846</v>
      </c>
      <c r="AC23" s="4" t="s">
        <v>282</v>
      </c>
      <c r="AD23" s="4" t="s">
        <v>279</v>
      </c>
      <c r="AE23" s="4" t="s">
        <v>285</v>
      </c>
      <c r="AF23" s="4"/>
      <c r="AG23" s="4"/>
      <c r="AH23" s="4"/>
      <c r="AI23" s="4"/>
    </row>
    <row r="24" ht="24" customHeight="1" spans="1:35" s="4" customFormat="1" x14ac:dyDescent="0.25">
      <c r="A24" s="6">
        <v>20</v>
      </c>
      <c r="B24" s="6" t="s">
        <v>381</v>
      </c>
      <c r="C24" s="6" t="s">
        <v>382</v>
      </c>
      <c r="D24" s="6" t="s">
        <v>352</v>
      </c>
      <c r="E24" s="7" t="s">
        <v>383</v>
      </c>
      <c r="F24" s="6" t="s">
        <v>937</v>
      </c>
      <c r="G24" s="6" t="s">
        <v>385</v>
      </c>
      <c r="H24" s="6" t="s">
        <v>836</v>
      </c>
      <c r="I24" s="6" t="s">
        <v>837</v>
      </c>
      <c r="J24" s="6" t="s">
        <v>938</v>
      </c>
      <c r="K24" s="6" t="s">
        <v>939</v>
      </c>
      <c r="L24" s="6" t="s">
        <v>940</v>
      </c>
      <c r="M24" s="6" t="s">
        <v>841</v>
      </c>
      <c r="N24" s="6" t="s">
        <v>941</v>
      </c>
      <c r="O24" s="6" t="s">
        <v>937</v>
      </c>
      <c r="P24" s="6" t="s">
        <v>843</v>
      </c>
      <c r="Q24" s="6" t="s">
        <v>282</v>
      </c>
      <c r="R24" s="6" t="s">
        <v>282</v>
      </c>
      <c r="S24" s="6" t="s">
        <v>282</v>
      </c>
      <c r="T24" s="6" t="s">
        <v>282</v>
      </c>
      <c r="U24" s="6" t="s">
        <v>282</v>
      </c>
      <c r="V24" s="6" t="s">
        <v>282</v>
      </c>
      <c r="W24" s="6" t="s">
        <v>282</v>
      </c>
      <c r="X24" s="6" t="s">
        <v>844</v>
      </c>
      <c r="Y24" s="6" t="s">
        <v>845</v>
      </c>
      <c r="Z24" s="6" t="s">
        <v>546</v>
      </c>
      <c r="AA24" s="13" t="s">
        <v>286</v>
      </c>
      <c r="AB24" s="6" t="s">
        <v>846</v>
      </c>
      <c r="AC24" s="6" t="s">
        <v>282</v>
      </c>
      <c r="AD24" s="6" t="s">
        <v>279</v>
      </c>
      <c r="AE24" s="6" t="s">
        <v>285</v>
      </c>
      <c r="AF24" s="4"/>
      <c r="AG24" s="4"/>
      <c r="AH24" s="4"/>
      <c r="AI24" s="4"/>
    </row>
    <row r="25" ht="24" customHeight="1" spans="1:35" s="4" customFormat="1" x14ac:dyDescent="0.25">
      <c r="A25" s="4">
        <v>21</v>
      </c>
      <c r="B25" s="4" t="s">
        <v>386</v>
      </c>
      <c r="C25" s="4" t="s">
        <v>387</v>
      </c>
      <c r="D25" s="4" t="s">
        <v>352</v>
      </c>
      <c r="E25" s="5" t="s">
        <v>388</v>
      </c>
      <c r="F25" s="4" t="s">
        <v>942</v>
      </c>
      <c r="G25" s="4" t="s">
        <v>390</v>
      </c>
      <c r="H25" s="4" t="s">
        <v>836</v>
      </c>
      <c r="I25" s="4" t="s">
        <v>837</v>
      </c>
      <c r="J25" s="4" t="s">
        <v>943</v>
      </c>
      <c r="K25" s="4" t="s">
        <v>944</v>
      </c>
      <c r="L25" s="4" t="s">
        <v>945</v>
      </c>
      <c r="M25" s="4" t="s">
        <v>841</v>
      </c>
      <c r="N25" s="4" t="s">
        <v>946</v>
      </c>
      <c r="O25" s="4" t="s">
        <v>942</v>
      </c>
      <c r="P25" s="4" t="s">
        <v>843</v>
      </c>
      <c r="Q25" s="4" t="s">
        <v>282</v>
      </c>
      <c r="R25" s="4" t="s">
        <v>282</v>
      </c>
      <c r="S25" s="4" t="s">
        <v>282</v>
      </c>
      <c r="T25" s="4" t="s">
        <v>282</v>
      </c>
      <c r="U25" s="4" t="s">
        <v>282</v>
      </c>
      <c r="V25" s="4" t="s">
        <v>282</v>
      </c>
      <c r="W25" s="4" t="s">
        <v>282</v>
      </c>
      <c r="X25" s="4" t="s">
        <v>844</v>
      </c>
      <c r="Y25" s="4" t="s">
        <v>845</v>
      </c>
      <c r="Z25" s="4" t="s">
        <v>546</v>
      </c>
      <c r="AA25" s="12" t="s">
        <v>286</v>
      </c>
      <c r="AB25" s="4" t="s">
        <v>846</v>
      </c>
      <c r="AC25" s="4" t="s">
        <v>282</v>
      </c>
      <c r="AD25" s="4" t="s">
        <v>279</v>
      </c>
      <c r="AE25" s="4" t="s">
        <v>285</v>
      </c>
      <c r="AF25" s="4"/>
      <c r="AG25" s="4"/>
      <c r="AH25" s="4"/>
      <c r="AI25" s="4"/>
    </row>
    <row r="26" ht="24" customHeight="1" spans="1:35" s="4" customFormat="1" x14ac:dyDescent="0.25">
      <c r="A26" s="6">
        <v>22</v>
      </c>
      <c r="B26" s="6" t="s">
        <v>391</v>
      </c>
      <c r="C26" s="6" t="s">
        <v>392</v>
      </c>
      <c r="D26" s="6" t="s">
        <v>393</v>
      </c>
      <c r="E26" s="7" t="s">
        <v>394</v>
      </c>
      <c r="F26" s="6" t="s">
        <v>947</v>
      </c>
      <c r="G26" s="6" t="s">
        <v>396</v>
      </c>
      <c r="H26" s="6" t="s">
        <v>836</v>
      </c>
      <c r="I26" s="6" t="s">
        <v>837</v>
      </c>
      <c r="J26" s="6" t="s">
        <v>948</v>
      </c>
      <c r="K26" s="6" t="s">
        <v>949</v>
      </c>
      <c r="L26" s="6" t="s">
        <v>950</v>
      </c>
      <c r="M26" s="6" t="s">
        <v>841</v>
      </c>
      <c r="N26" s="6" t="s">
        <v>951</v>
      </c>
      <c r="O26" s="6" t="s">
        <v>947</v>
      </c>
      <c r="P26" s="6" t="s">
        <v>843</v>
      </c>
      <c r="Q26" s="6" t="s">
        <v>282</v>
      </c>
      <c r="R26" s="6" t="s">
        <v>282</v>
      </c>
      <c r="S26" s="6" t="s">
        <v>282</v>
      </c>
      <c r="T26" s="6" t="s">
        <v>282</v>
      </c>
      <c r="U26" s="6" t="s">
        <v>282</v>
      </c>
      <c r="V26" s="6" t="s">
        <v>282</v>
      </c>
      <c r="W26" s="6" t="s">
        <v>282</v>
      </c>
      <c r="X26" s="6" t="s">
        <v>844</v>
      </c>
      <c r="Y26" s="6" t="s">
        <v>845</v>
      </c>
      <c r="Z26" s="6" t="s">
        <v>546</v>
      </c>
      <c r="AA26" s="13" t="s">
        <v>286</v>
      </c>
      <c r="AB26" s="6" t="s">
        <v>846</v>
      </c>
      <c r="AC26" s="6" t="s">
        <v>282</v>
      </c>
      <c r="AD26" s="6" t="s">
        <v>279</v>
      </c>
      <c r="AE26" s="6" t="s">
        <v>285</v>
      </c>
      <c r="AF26" s="4"/>
      <c r="AG26" s="4"/>
      <c r="AH26" s="4"/>
      <c r="AI26" s="4"/>
    </row>
    <row r="27" ht="24" customHeight="1" spans="1:35" s="4" customFormat="1" x14ac:dyDescent="0.25">
      <c r="A27" s="4">
        <v>23</v>
      </c>
      <c r="B27" s="4" t="s">
        <v>397</v>
      </c>
      <c r="C27" s="4" t="s">
        <v>398</v>
      </c>
      <c r="D27" s="4" t="s">
        <v>393</v>
      </c>
      <c r="E27" s="5" t="s">
        <v>399</v>
      </c>
      <c r="F27" s="4" t="s">
        <v>952</v>
      </c>
      <c r="G27" s="4" t="s">
        <v>401</v>
      </c>
      <c r="H27" s="4" t="s">
        <v>836</v>
      </c>
      <c r="I27" s="4" t="s">
        <v>837</v>
      </c>
      <c r="J27" s="4" t="s">
        <v>953</v>
      </c>
      <c r="K27" s="4" t="s">
        <v>954</v>
      </c>
      <c r="L27" s="4" t="s">
        <v>955</v>
      </c>
      <c r="M27" s="4" t="s">
        <v>841</v>
      </c>
      <c r="N27" s="4" t="s">
        <v>956</v>
      </c>
      <c r="O27" s="4" t="s">
        <v>952</v>
      </c>
      <c r="P27" s="4" t="s">
        <v>843</v>
      </c>
      <c r="Q27" s="4" t="s">
        <v>282</v>
      </c>
      <c r="R27" s="4" t="s">
        <v>282</v>
      </c>
      <c r="S27" s="4" t="s">
        <v>282</v>
      </c>
      <c r="T27" s="4" t="s">
        <v>282</v>
      </c>
      <c r="U27" s="4" t="s">
        <v>282</v>
      </c>
      <c r="V27" s="4" t="s">
        <v>282</v>
      </c>
      <c r="W27" s="4" t="s">
        <v>282</v>
      </c>
      <c r="X27" s="4" t="s">
        <v>844</v>
      </c>
      <c r="Y27" s="4" t="s">
        <v>845</v>
      </c>
      <c r="Z27" s="4" t="s">
        <v>546</v>
      </c>
      <c r="AA27" s="12" t="s">
        <v>286</v>
      </c>
      <c r="AB27" s="4" t="s">
        <v>846</v>
      </c>
      <c r="AC27" s="4" t="s">
        <v>282</v>
      </c>
      <c r="AD27" s="4" t="s">
        <v>279</v>
      </c>
      <c r="AE27" s="4" t="s">
        <v>285</v>
      </c>
      <c r="AF27" s="4"/>
      <c r="AG27" s="4"/>
      <c r="AH27" s="4"/>
      <c r="AI27" s="4"/>
    </row>
    <row r="28" ht="24" customHeight="1" spans="1:35" s="4" customFormat="1" x14ac:dyDescent="0.25">
      <c r="A28" s="6">
        <v>24</v>
      </c>
      <c r="B28" s="6" t="s">
        <v>402</v>
      </c>
      <c r="C28" s="6" t="s">
        <v>403</v>
      </c>
      <c r="D28" s="6" t="s">
        <v>393</v>
      </c>
      <c r="E28" s="7" t="s">
        <v>404</v>
      </c>
      <c r="F28" s="6" t="s">
        <v>957</v>
      </c>
      <c r="G28" s="6" t="s">
        <v>406</v>
      </c>
      <c r="H28" s="6" t="s">
        <v>836</v>
      </c>
      <c r="I28" s="6" t="s">
        <v>837</v>
      </c>
      <c r="J28" s="6" t="s">
        <v>958</v>
      </c>
      <c r="K28" s="6" t="s">
        <v>959</v>
      </c>
      <c r="L28" s="6" t="s">
        <v>960</v>
      </c>
      <c r="M28" s="6" t="s">
        <v>841</v>
      </c>
      <c r="N28" s="6" t="s">
        <v>961</v>
      </c>
      <c r="O28" s="6" t="s">
        <v>957</v>
      </c>
      <c r="P28" s="6" t="s">
        <v>843</v>
      </c>
      <c r="Q28" s="6" t="s">
        <v>282</v>
      </c>
      <c r="R28" s="6" t="s">
        <v>282</v>
      </c>
      <c r="S28" s="6" t="s">
        <v>282</v>
      </c>
      <c r="T28" s="6" t="s">
        <v>282</v>
      </c>
      <c r="U28" s="6" t="s">
        <v>282</v>
      </c>
      <c r="V28" s="6" t="s">
        <v>282</v>
      </c>
      <c r="W28" s="6" t="s">
        <v>282</v>
      </c>
      <c r="X28" s="6" t="s">
        <v>844</v>
      </c>
      <c r="Y28" s="6" t="s">
        <v>845</v>
      </c>
      <c r="Z28" s="6" t="s">
        <v>546</v>
      </c>
      <c r="AA28" s="13" t="s">
        <v>286</v>
      </c>
      <c r="AB28" s="6" t="s">
        <v>846</v>
      </c>
      <c r="AC28" s="6" t="s">
        <v>282</v>
      </c>
      <c r="AD28" s="6" t="s">
        <v>279</v>
      </c>
      <c r="AE28" s="6" t="s">
        <v>285</v>
      </c>
      <c r="AF28" s="4"/>
      <c r="AG28" s="4"/>
      <c r="AH28" s="4"/>
      <c r="AI28" s="4"/>
    </row>
    <row r="29" ht="24" customHeight="1" spans="1:35" s="4" customFormat="1" x14ac:dyDescent="0.25">
      <c r="A29" s="4">
        <v>25</v>
      </c>
      <c r="B29" s="4" t="s">
        <v>407</v>
      </c>
      <c r="C29" s="4" t="s">
        <v>408</v>
      </c>
      <c r="D29" s="4" t="s">
        <v>393</v>
      </c>
      <c r="E29" s="5" t="s">
        <v>409</v>
      </c>
      <c r="F29" s="4" t="s">
        <v>962</v>
      </c>
      <c r="G29" s="4" t="s">
        <v>411</v>
      </c>
      <c r="H29" s="4" t="s">
        <v>836</v>
      </c>
      <c r="I29" s="4" t="s">
        <v>837</v>
      </c>
      <c r="J29" s="4" t="s">
        <v>963</v>
      </c>
      <c r="K29" s="4" t="s">
        <v>964</v>
      </c>
      <c r="L29" s="4" t="s">
        <v>965</v>
      </c>
      <c r="M29" s="4" t="s">
        <v>841</v>
      </c>
      <c r="N29" s="4" t="s">
        <v>966</v>
      </c>
      <c r="O29" s="4" t="s">
        <v>962</v>
      </c>
      <c r="P29" s="4" t="s">
        <v>843</v>
      </c>
      <c r="Q29" s="4" t="s">
        <v>282</v>
      </c>
      <c r="R29" s="4" t="s">
        <v>282</v>
      </c>
      <c r="S29" s="4" t="s">
        <v>282</v>
      </c>
      <c r="T29" s="4" t="s">
        <v>282</v>
      </c>
      <c r="U29" s="4" t="s">
        <v>282</v>
      </c>
      <c r="V29" s="4" t="s">
        <v>282</v>
      </c>
      <c r="W29" s="4" t="s">
        <v>282</v>
      </c>
      <c r="X29" s="4" t="s">
        <v>844</v>
      </c>
      <c r="Y29" s="4" t="s">
        <v>845</v>
      </c>
      <c r="Z29" s="4" t="s">
        <v>546</v>
      </c>
      <c r="AA29" s="12" t="s">
        <v>286</v>
      </c>
      <c r="AB29" s="4" t="s">
        <v>846</v>
      </c>
      <c r="AC29" s="4" t="s">
        <v>282</v>
      </c>
      <c r="AD29" s="4" t="s">
        <v>279</v>
      </c>
      <c r="AE29" s="4" t="s">
        <v>285</v>
      </c>
      <c r="AF29" s="4"/>
      <c r="AG29" s="4"/>
      <c r="AH29" s="4"/>
      <c r="AI29" s="4"/>
    </row>
    <row r="30" ht="24" customHeight="1" spans="1:35" s="4" customFormat="1" x14ac:dyDescent="0.25">
      <c r="A30" s="6">
        <v>26</v>
      </c>
      <c r="B30" s="6" t="s">
        <v>412</v>
      </c>
      <c r="C30" s="6" t="s">
        <v>413</v>
      </c>
      <c r="D30" s="6" t="s">
        <v>414</v>
      </c>
      <c r="E30" s="7" t="s">
        <v>415</v>
      </c>
      <c r="F30" s="6" t="s">
        <v>967</v>
      </c>
      <c r="G30" s="6" t="s">
        <v>417</v>
      </c>
      <c r="H30" s="6" t="s">
        <v>836</v>
      </c>
      <c r="I30" s="6" t="s">
        <v>837</v>
      </c>
      <c r="J30" s="6" t="s">
        <v>968</v>
      </c>
      <c r="K30" s="6" t="s">
        <v>969</v>
      </c>
      <c r="L30" s="6" t="s">
        <v>970</v>
      </c>
      <c r="M30" s="6" t="s">
        <v>841</v>
      </c>
      <c r="N30" s="6" t="s">
        <v>971</v>
      </c>
      <c r="O30" s="6" t="s">
        <v>967</v>
      </c>
      <c r="P30" s="6" t="s">
        <v>843</v>
      </c>
      <c r="Q30" s="6" t="s">
        <v>282</v>
      </c>
      <c r="R30" s="6" t="s">
        <v>282</v>
      </c>
      <c r="S30" s="6" t="s">
        <v>282</v>
      </c>
      <c r="T30" s="6" t="s">
        <v>282</v>
      </c>
      <c r="U30" s="6" t="s">
        <v>282</v>
      </c>
      <c r="V30" s="6" t="s">
        <v>282</v>
      </c>
      <c r="W30" s="6" t="s">
        <v>282</v>
      </c>
      <c r="X30" s="6" t="s">
        <v>844</v>
      </c>
      <c r="Y30" s="6" t="s">
        <v>845</v>
      </c>
      <c r="Z30" s="6" t="s">
        <v>546</v>
      </c>
      <c r="AA30" s="13" t="s">
        <v>286</v>
      </c>
      <c r="AB30" s="6" t="s">
        <v>846</v>
      </c>
      <c r="AC30" s="6" t="s">
        <v>282</v>
      </c>
      <c r="AD30" s="6" t="s">
        <v>279</v>
      </c>
      <c r="AE30" s="6" t="s">
        <v>285</v>
      </c>
      <c r="AF30" s="4"/>
      <c r="AG30" s="4"/>
      <c r="AH30" s="4"/>
      <c r="AI30" s="4"/>
    </row>
    <row r="31" ht="24" customHeight="1" spans="1:35" s="4" customFormat="1" x14ac:dyDescent="0.25">
      <c r="A31" s="4">
        <v>27</v>
      </c>
      <c r="B31" s="4" t="s">
        <v>418</v>
      </c>
      <c r="C31" s="4" t="s">
        <v>419</v>
      </c>
      <c r="D31" s="4" t="s">
        <v>414</v>
      </c>
      <c r="E31" s="5" t="s">
        <v>420</v>
      </c>
      <c r="F31" s="4" t="s">
        <v>972</v>
      </c>
      <c r="G31" s="4" t="s">
        <v>422</v>
      </c>
      <c r="H31" s="4" t="s">
        <v>836</v>
      </c>
      <c r="I31" s="4" t="s">
        <v>837</v>
      </c>
      <c r="J31" s="4" t="s">
        <v>973</v>
      </c>
      <c r="K31" s="4" t="s">
        <v>974</v>
      </c>
      <c r="L31" s="4" t="s">
        <v>975</v>
      </c>
      <c r="M31" s="4" t="s">
        <v>841</v>
      </c>
      <c r="N31" s="4" t="s">
        <v>976</v>
      </c>
      <c r="O31" s="4" t="s">
        <v>972</v>
      </c>
      <c r="P31" s="4" t="s">
        <v>843</v>
      </c>
      <c r="Q31" s="4" t="s">
        <v>282</v>
      </c>
      <c r="R31" s="4" t="s">
        <v>282</v>
      </c>
      <c r="S31" s="4" t="s">
        <v>282</v>
      </c>
      <c r="T31" s="4" t="s">
        <v>282</v>
      </c>
      <c r="U31" s="4" t="s">
        <v>282</v>
      </c>
      <c r="V31" s="4" t="s">
        <v>282</v>
      </c>
      <c r="W31" s="4" t="s">
        <v>282</v>
      </c>
      <c r="X31" s="4" t="s">
        <v>844</v>
      </c>
      <c r="Y31" s="4" t="s">
        <v>845</v>
      </c>
      <c r="Z31" s="4" t="s">
        <v>546</v>
      </c>
      <c r="AA31" s="12" t="s">
        <v>286</v>
      </c>
      <c r="AB31" s="4" t="s">
        <v>846</v>
      </c>
      <c r="AC31" s="4" t="s">
        <v>282</v>
      </c>
      <c r="AD31" s="4" t="s">
        <v>279</v>
      </c>
      <c r="AE31" s="4" t="s">
        <v>285</v>
      </c>
      <c r="AF31" s="4"/>
      <c r="AG31" s="4"/>
      <c r="AH31" s="4"/>
      <c r="AI31" s="4"/>
    </row>
    <row r="32" ht="24" customHeight="1" spans="1:35" s="4" customFormat="1" x14ac:dyDescent="0.25">
      <c r="A32" s="6">
        <v>28</v>
      </c>
      <c r="B32" s="6" t="s">
        <v>423</v>
      </c>
      <c r="C32" s="6" t="s">
        <v>424</v>
      </c>
      <c r="D32" s="6" t="s">
        <v>414</v>
      </c>
      <c r="E32" s="7" t="s">
        <v>425</v>
      </c>
      <c r="F32" s="6" t="s">
        <v>977</v>
      </c>
      <c r="G32" s="6" t="s">
        <v>427</v>
      </c>
      <c r="H32" s="6" t="s">
        <v>836</v>
      </c>
      <c r="I32" s="6" t="s">
        <v>837</v>
      </c>
      <c r="J32" s="6" t="s">
        <v>978</v>
      </c>
      <c r="K32" s="6" t="s">
        <v>979</v>
      </c>
      <c r="L32" s="6" t="s">
        <v>980</v>
      </c>
      <c r="M32" s="6" t="s">
        <v>841</v>
      </c>
      <c r="N32" s="6" t="s">
        <v>981</v>
      </c>
      <c r="O32" s="6" t="s">
        <v>977</v>
      </c>
      <c r="P32" s="6" t="s">
        <v>843</v>
      </c>
      <c r="Q32" s="6" t="s">
        <v>282</v>
      </c>
      <c r="R32" s="6" t="s">
        <v>282</v>
      </c>
      <c r="S32" s="6" t="s">
        <v>282</v>
      </c>
      <c r="T32" s="6" t="s">
        <v>282</v>
      </c>
      <c r="U32" s="6" t="s">
        <v>282</v>
      </c>
      <c r="V32" s="6" t="s">
        <v>282</v>
      </c>
      <c r="W32" s="6" t="s">
        <v>282</v>
      </c>
      <c r="X32" s="6" t="s">
        <v>844</v>
      </c>
      <c r="Y32" s="6" t="s">
        <v>845</v>
      </c>
      <c r="Z32" s="6" t="s">
        <v>546</v>
      </c>
      <c r="AA32" s="13" t="s">
        <v>286</v>
      </c>
      <c r="AB32" s="6" t="s">
        <v>846</v>
      </c>
      <c r="AC32" s="6" t="s">
        <v>282</v>
      </c>
      <c r="AD32" s="6" t="s">
        <v>279</v>
      </c>
      <c r="AE32" s="6" t="s">
        <v>285</v>
      </c>
      <c r="AF32" s="4"/>
      <c r="AG32" s="4"/>
      <c r="AH32" s="4"/>
      <c r="AI32" s="4"/>
    </row>
    <row r="33" ht="24" customHeight="1" spans="1:35" s="4" customFormat="1" x14ac:dyDescent="0.25">
      <c r="A33" s="4">
        <v>29</v>
      </c>
      <c r="B33" s="4" t="s">
        <v>428</v>
      </c>
      <c r="C33" s="4" t="s">
        <v>429</v>
      </c>
      <c r="D33" s="4" t="s">
        <v>414</v>
      </c>
      <c r="E33" s="5" t="s">
        <v>430</v>
      </c>
      <c r="F33" s="4" t="s">
        <v>982</v>
      </c>
      <c r="G33" s="4" t="s">
        <v>432</v>
      </c>
      <c r="H33" s="4" t="s">
        <v>836</v>
      </c>
      <c r="I33" s="4" t="s">
        <v>837</v>
      </c>
      <c r="J33" s="4" t="s">
        <v>983</v>
      </c>
      <c r="K33" s="4" t="s">
        <v>984</v>
      </c>
      <c r="L33" s="4" t="s">
        <v>985</v>
      </c>
      <c r="M33" s="4" t="s">
        <v>841</v>
      </c>
      <c r="N33" s="4" t="s">
        <v>986</v>
      </c>
      <c r="O33" s="4" t="s">
        <v>982</v>
      </c>
      <c r="P33" s="4" t="s">
        <v>843</v>
      </c>
      <c r="Q33" s="4" t="s">
        <v>282</v>
      </c>
      <c r="R33" s="4" t="s">
        <v>282</v>
      </c>
      <c r="S33" s="4" t="s">
        <v>282</v>
      </c>
      <c r="T33" s="4" t="s">
        <v>282</v>
      </c>
      <c r="U33" s="4" t="s">
        <v>282</v>
      </c>
      <c r="V33" s="4" t="s">
        <v>282</v>
      </c>
      <c r="W33" s="4" t="s">
        <v>282</v>
      </c>
      <c r="X33" s="4" t="s">
        <v>844</v>
      </c>
      <c r="Y33" s="4" t="s">
        <v>845</v>
      </c>
      <c r="Z33" s="4" t="s">
        <v>546</v>
      </c>
      <c r="AA33" s="12" t="s">
        <v>286</v>
      </c>
      <c r="AB33" s="4" t="s">
        <v>846</v>
      </c>
      <c r="AC33" s="4" t="s">
        <v>282</v>
      </c>
      <c r="AD33" s="4" t="s">
        <v>279</v>
      </c>
      <c r="AE33" s="4" t="s">
        <v>285</v>
      </c>
      <c r="AF33" s="4"/>
      <c r="AG33" s="4"/>
      <c r="AH33" s="4"/>
      <c r="AI33" s="4"/>
    </row>
    <row r="34" ht="24" customHeight="1" spans="1:35" s="4" customFormat="1" x14ac:dyDescent="0.25">
      <c r="A34" s="6">
        <v>30</v>
      </c>
      <c r="B34" s="6" t="s">
        <v>433</v>
      </c>
      <c r="C34" s="6" t="s">
        <v>434</v>
      </c>
      <c r="D34" s="6" t="s">
        <v>435</v>
      </c>
      <c r="E34" s="7" t="s">
        <v>436</v>
      </c>
      <c r="F34" s="6" t="s">
        <v>987</v>
      </c>
      <c r="G34" s="6" t="s">
        <v>438</v>
      </c>
      <c r="H34" s="6" t="s">
        <v>836</v>
      </c>
      <c r="I34" s="6" t="s">
        <v>837</v>
      </c>
      <c r="J34" s="6" t="s">
        <v>988</v>
      </c>
      <c r="K34" s="6" t="s">
        <v>989</v>
      </c>
      <c r="L34" s="6" t="s">
        <v>990</v>
      </c>
      <c r="M34" s="6" t="s">
        <v>841</v>
      </c>
      <c r="N34" s="6" t="s">
        <v>991</v>
      </c>
      <c r="O34" s="6" t="s">
        <v>987</v>
      </c>
      <c r="P34" s="6" t="s">
        <v>843</v>
      </c>
      <c r="Q34" s="6" t="s">
        <v>282</v>
      </c>
      <c r="R34" s="6" t="s">
        <v>282</v>
      </c>
      <c r="S34" s="6" t="s">
        <v>282</v>
      </c>
      <c r="T34" s="6" t="s">
        <v>282</v>
      </c>
      <c r="U34" s="6" t="s">
        <v>282</v>
      </c>
      <c r="V34" s="6" t="s">
        <v>282</v>
      </c>
      <c r="W34" s="6" t="s">
        <v>282</v>
      </c>
      <c r="X34" s="6" t="s">
        <v>844</v>
      </c>
      <c r="Y34" s="6" t="s">
        <v>845</v>
      </c>
      <c r="Z34" s="6" t="s">
        <v>546</v>
      </c>
      <c r="AA34" s="13" t="s">
        <v>286</v>
      </c>
      <c r="AB34" s="6" t="s">
        <v>846</v>
      </c>
      <c r="AC34" s="6" t="s">
        <v>282</v>
      </c>
      <c r="AD34" s="6" t="s">
        <v>279</v>
      </c>
      <c r="AE34" s="6" t="s">
        <v>285</v>
      </c>
      <c r="AF34" s="4"/>
      <c r="AG34" s="4"/>
      <c r="AH34" s="4"/>
      <c r="AI34" s="4"/>
    </row>
    <row r="35" ht="24" customHeight="1" spans="1:35" s="4" customFormat="1" x14ac:dyDescent="0.25">
      <c r="A35" s="4">
        <v>31</v>
      </c>
      <c r="B35" s="4" t="s">
        <v>439</v>
      </c>
      <c r="C35" s="4" t="s">
        <v>440</v>
      </c>
      <c r="D35" s="4" t="s">
        <v>435</v>
      </c>
      <c r="E35" s="5" t="s">
        <v>441</v>
      </c>
      <c r="F35" s="4" t="s">
        <v>992</v>
      </c>
      <c r="G35" s="4" t="s">
        <v>443</v>
      </c>
      <c r="H35" s="4" t="s">
        <v>836</v>
      </c>
      <c r="I35" s="4" t="s">
        <v>837</v>
      </c>
      <c r="J35" s="4" t="s">
        <v>993</v>
      </c>
      <c r="K35" s="4" t="s">
        <v>994</v>
      </c>
      <c r="L35" s="4" t="s">
        <v>995</v>
      </c>
      <c r="M35" s="4" t="s">
        <v>841</v>
      </c>
      <c r="N35" s="4" t="s">
        <v>996</v>
      </c>
      <c r="O35" s="4" t="s">
        <v>992</v>
      </c>
      <c r="P35" s="4" t="s">
        <v>843</v>
      </c>
      <c r="Q35" s="4" t="s">
        <v>282</v>
      </c>
      <c r="R35" s="4" t="s">
        <v>282</v>
      </c>
      <c r="S35" s="4" t="s">
        <v>282</v>
      </c>
      <c r="T35" s="4" t="s">
        <v>282</v>
      </c>
      <c r="U35" s="4" t="s">
        <v>282</v>
      </c>
      <c r="V35" s="4" t="s">
        <v>282</v>
      </c>
      <c r="W35" s="4" t="s">
        <v>282</v>
      </c>
      <c r="X35" s="4" t="s">
        <v>844</v>
      </c>
      <c r="Y35" s="4" t="s">
        <v>845</v>
      </c>
      <c r="Z35" s="4" t="s">
        <v>546</v>
      </c>
      <c r="AA35" s="12" t="s">
        <v>286</v>
      </c>
      <c r="AB35" s="4" t="s">
        <v>846</v>
      </c>
      <c r="AC35" s="4" t="s">
        <v>282</v>
      </c>
      <c r="AD35" s="4" t="s">
        <v>279</v>
      </c>
      <c r="AE35" s="4" t="s">
        <v>285</v>
      </c>
      <c r="AF35" s="4"/>
      <c r="AG35" s="4"/>
      <c r="AH35" s="4"/>
      <c r="AI35" s="4"/>
    </row>
    <row r="36" ht="24" customHeight="1" spans="1:35" s="4" customFormat="1" x14ac:dyDescent="0.25">
      <c r="A36" s="6">
        <v>32</v>
      </c>
      <c r="B36" s="6" t="s">
        <v>444</v>
      </c>
      <c r="C36" s="6" t="s">
        <v>445</v>
      </c>
      <c r="D36" s="6" t="s">
        <v>435</v>
      </c>
      <c r="E36" s="7" t="s">
        <v>446</v>
      </c>
      <c r="F36" s="6" t="s">
        <v>997</v>
      </c>
      <c r="G36" s="6" t="s">
        <v>448</v>
      </c>
      <c r="H36" s="6" t="s">
        <v>836</v>
      </c>
      <c r="I36" s="6" t="s">
        <v>837</v>
      </c>
      <c r="J36" s="6" t="s">
        <v>998</v>
      </c>
      <c r="K36" s="6" t="s">
        <v>999</v>
      </c>
      <c r="L36" s="6" t="s">
        <v>1000</v>
      </c>
      <c r="M36" s="6" t="s">
        <v>841</v>
      </c>
      <c r="N36" s="6" t="s">
        <v>1001</v>
      </c>
      <c r="O36" s="6" t="s">
        <v>997</v>
      </c>
      <c r="P36" s="6" t="s">
        <v>843</v>
      </c>
      <c r="Q36" s="6" t="s">
        <v>282</v>
      </c>
      <c r="R36" s="6" t="s">
        <v>282</v>
      </c>
      <c r="S36" s="6" t="s">
        <v>282</v>
      </c>
      <c r="T36" s="6" t="s">
        <v>282</v>
      </c>
      <c r="U36" s="6" t="s">
        <v>282</v>
      </c>
      <c r="V36" s="6" t="s">
        <v>282</v>
      </c>
      <c r="W36" s="6" t="s">
        <v>282</v>
      </c>
      <c r="X36" s="6" t="s">
        <v>844</v>
      </c>
      <c r="Y36" s="6" t="s">
        <v>845</v>
      </c>
      <c r="Z36" s="6" t="s">
        <v>546</v>
      </c>
      <c r="AA36" s="13" t="s">
        <v>286</v>
      </c>
      <c r="AB36" s="6" t="s">
        <v>846</v>
      </c>
      <c r="AC36" s="6" t="s">
        <v>282</v>
      </c>
      <c r="AD36" s="6" t="s">
        <v>279</v>
      </c>
      <c r="AE36" s="6" t="s">
        <v>285</v>
      </c>
      <c r="AF36" s="4"/>
      <c r="AG36" s="4"/>
      <c r="AH36" s="4"/>
      <c r="AI36" s="4"/>
    </row>
    <row r="37" ht="24" customHeight="1" spans="1:35" s="4" customFormat="1" x14ac:dyDescent="0.25">
      <c r="A37" s="4">
        <v>33</v>
      </c>
      <c r="B37" s="4" t="s">
        <v>449</v>
      </c>
      <c r="C37" s="4" t="s">
        <v>450</v>
      </c>
      <c r="D37" s="4" t="s">
        <v>451</v>
      </c>
      <c r="E37" s="5" t="s">
        <v>452</v>
      </c>
      <c r="F37" s="4" t="s">
        <v>1002</v>
      </c>
      <c r="G37" s="4" t="s">
        <v>454</v>
      </c>
      <c r="H37" s="4" t="s">
        <v>836</v>
      </c>
      <c r="I37" s="4" t="s">
        <v>837</v>
      </c>
      <c r="J37" s="4" t="s">
        <v>1003</v>
      </c>
      <c r="K37" s="4" t="s">
        <v>1004</v>
      </c>
      <c r="L37" s="4" t="s">
        <v>1005</v>
      </c>
      <c r="M37" s="4" t="s">
        <v>841</v>
      </c>
      <c r="N37" s="4" t="s">
        <v>1006</v>
      </c>
      <c r="O37" s="4" t="s">
        <v>1002</v>
      </c>
      <c r="P37" s="4" t="s">
        <v>843</v>
      </c>
      <c r="Q37" s="4" t="s">
        <v>282</v>
      </c>
      <c r="R37" s="4" t="s">
        <v>282</v>
      </c>
      <c r="S37" s="4" t="s">
        <v>282</v>
      </c>
      <c r="T37" s="4" t="s">
        <v>282</v>
      </c>
      <c r="U37" s="4" t="s">
        <v>282</v>
      </c>
      <c r="V37" s="4" t="s">
        <v>282</v>
      </c>
      <c r="W37" s="4" t="s">
        <v>282</v>
      </c>
      <c r="X37" s="4" t="s">
        <v>844</v>
      </c>
      <c r="Y37" s="4" t="s">
        <v>845</v>
      </c>
      <c r="Z37" s="4" t="s">
        <v>546</v>
      </c>
      <c r="AA37" s="12" t="s">
        <v>286</v>
      </c>
      <c r="AB37" s="4" t="s">
        <v>846</v>
      </c>
      <c r="AC37" s="4" t="s">
        <v>282</v>
      </c>
      <c r="AD37" s="4" t="s">
        <v>279</v>
      </c>
      <c r="AE37" s="4" t="s">
        <v>285</v>
      </c>
      <c r="AF37" s="4"/>
      <c r="AG37" s="4"/>
      <c r="AH37" s="4"/>
      <c r="AI37" s="4"/>
    </row>
    <row r="38" ht="24" customHeight="1" spans="1:35" s="4" customFormat="1" x14ac:dyDescent="0.25">
      <c r="A38" s="6">
        <v>34</v>
      </c>
      <c r="B38" s="6" t="s">
        <v>455</v>
      </c>
      <c r="C38" s="6" t="s">
        <v>456</v>
      </c>
      <c r="D38" s="6" t="s">
        <v>451</v>
      </c>
      <c r="E38" s="7" t="s">
        <v>457</v>
      </c>
      <c r="F38" s="6" t="s">
        <v>1007</v>
      </c>
      <c r="G38" s="6" t="s">
        <v>459</v>
      </c>
      <c r="H38" s="6" t="s">
        <v>836</v>
      </c>
      <c r="I38" s="6" t="s">
        <v>837</v>
      </c>
      <c r="J38" s="6" t="s">
        <v>1008</v>
      </c>
      <c r="K38" s="6" t="s">
        <v>1009</v>
      </c>
      <c r="L38" s="6" t="s">
        <v>1010</v>
      </c>
      <c r="M38" s="6" t="s">
        <v>841</v>
      </c>
      <c r="N38" s="6" t="s">
        <v>1011</v>
      </c>
      <c r="O38" s="6" t="s">
        <v>1007</v>
      </c>
      <c r="P38" s="6" t="s">
        <v>843</v>
      </c>
      <c r="Q38" s="6" t="s">
        <v>282</v>
      </c>
      <c r="R38" s="6" t="s">
        <v>282</v>
      </c>
      <c r="S38" s="6" t="s">
        <v>282</v>
      </c>
      <c r="T38" s="6" t="s">
        <v>282</v>
      </c>
      <c r="U38" s="6" t="s">
        <v>282</v>
      </c>
      <c r="V38" s="6" t="s">
        <v>282</v>
      </c>
      <c r="W38" s="6" t="s">
        <v>282</v>
      </c>
      <c r="X38" s="6" t="s">
        <v>844</v>
      </c>
      <c r="Y38" s="6" t="s">
        <v>845</v>
      </c>
      <c r="Z38" s="6" t="s">
        <v>546</v>
      </c>
      <c r="AA38" s="13" t="s">
        <v>286</v>
      </c>
      <c r="AB38" s="6" t="s">
        <v>846</v>
      </c>
      <c r="AC38" s="6" t="s">
        <v>282</v>
      </c>
      <c r="AD38" s="6" t="s">
        <v>279</v>
      </c>
      <c r="AE38" s="6" t="s">
        <v>285</v>
      </c>
      <c r="AF38" s="4"/>
      <c r="AG38" s="4"/>
      <c r="AH38" s="4"/>
      <c r="AI38" s="4"/>
    </row>
    <row r="39" ht="24" customHeight="1" spans="1:35" s="4" customFormat="1" x14ac:dyDescent="0.25">
      <c r="A39" s="4">
        <v>35</v>
      </c>
      <c r="B39" s="4" t="s">
        <v>460</v>
      </c>
      <c r="C39" s="4" t="s">
        <v>461</v>
      </c>
      <c r="D39" s="4" t="s">
        <v>462</v>
      </c>
      <c r="E39" s="5" t="s">
        <v>463</v>
      </c>
      <c r="F39" s="4" t="s">
        <v>1012</v>
      </c>
      <c r="G39" s="4" t="s">
        <v>465</v>
      </c>
      <c r="H39" s="4" t="s">
        <v>836</v>
      </c>
      <c r="I39" s="4" t="s">
        <v>837</v>
      </c>
      <c r="J39" s="4" t="s">
        <v>1013</v>
      </c>
      <c r="K39" s="4" t="s">
        <v>1014</v>
      </c>
      <c r="L39" s="4" t="s">
        <v>1015</v>
      </c>
      <c r="M39" s="4" t="s">
        <v>841</v>
      </c>
      <c r="N39" s="4" t="s">
        <v>1016</v>
      </c>
      <c r="O39" s="4" t="s">
        <v>1012</v>
      </c>
      <c r="P39" s="4" t="s">
        <v>843</v>
      </c>
      <c r="Q39" s="4" t="s">
        <v>282</v>
      </c>
      <c r="R39" s="4" t="s">
        <v>282</v>
      </c>
      <c r="S39" s="4" t="s">
        <v>282</v>
      </c>
      <c r="T39" s="4" t="s">
        <v>282</v>
      </c>
      <c r="U39" s="4" t="s">
        <v>282</v>
      </c>
      <c r="V39" s="4" t="s">
        <v>282</v>
      </c>
      <c r="W39" s="4" t="s">
        <v>282</v>
      </c>
      <c r="X39" s="4" t="s">
        <v>844</v>
      </c>
      <c r="Y39" s="4" t="s">
        <v>845</v>
      </c>
      <c r="Z39" s="4" t="s">
        <v>546</v>
      </c>
      <c r="AA39" s="12" t="s">
        <v>286</v>
      </c>
      <c r="AB39" s="4" t="s">
        <v>846</v>
      </c>
      <c r="AC39" s="4" t="s">
        <v>282</v>
      </c>
      <c r="AD39" s="4" t="s">
        <v>279</v>
      </c>
      <c r="AE39" s="4" t="s">
        <v>285</v>
      </c>
      <c r="AF39" s="4"/>
      <c r="AG39" s="4"/>
      <c r="AH39" s="4"/>
      <c r="AI39" s="4"/>
    </row>
    <row r="40" ht="24" customHeight="1" spans="1:35" s="4" customFormat="1" x14ac:dyDescent="0.25">
      <c r="A40" s="6">
        <v>36</v>
      </c>
      <c r="B40" s="6" t="s">
        <v>466</v>
      </c>
      <c r="C40" s="6" t="s">
        <v>467</v>
      </c>
      <c r="D40" s="6" t="s">
        <v>462</v>
      </c>
      <c r="E40" s="7" t="s">
        <v>468</v>
      </c>
      <c r="F40" s="6" t="s">
        <v>1017</v>
      </c>
      <c r="G40" s="6" t="s">
        <v>470</v>
      </c>
      <c r="H40" s="6" t="s">
        <v>836</v>
      </c>
      <c r="I40" s="6" t="s">
        <v>837</v>
      </c>
      <c r="J40" s="6" t="s">
        <v>1018</v>
      </c>
      <c r="K40" s="6" t="s">
        <v>1019</v>
      </c>
      <c r="L40" s="6" t="s">
        <v>1020</v>
      </c>
      <c r="M40" s="6" t="s">
        <v>841</v>
      </c>
      <c r="N40" s="6" t="s">
        <v>1021</v>
      </c>
      <c r="O40" s="6" t="s">
        <v>1017</v>
      </c>
      <c r="P40" s="6" t="s">
        <v>843</v>
      </c>
      <c r="Q40" s="6" t="s">
        <v>282</v>
      </c>
      <c r="R40" s="6" t="s">
        <v>282</v>
      </c>
      <c r="S40" s="6" t="s">
        <v>282</v>
      </c>
      <c r="T40" s="6" t="s">
        <v>282</v>
      </c>
      <c r="U40" s="6" t="s">
        <v>282</v>
      </c>
      <c r="V40" s="6" t="s">
        <v>282</v>
      </c>
      <c r="W40" s="6" t="s">
        <v>282</v>
      </c>
      <c r="X40" s="6" t="s">
        <v>844</v>
      </c>
      <c r="Y40" s="6" t="s">
        <v>845</v>
      </c>
      <c r="Z40" s="6" t="s">
        <v>546</v>
      </c>
      <c r="AA40" s="13" t="s">
        <v>286</v>
      </c>
      <c r="AB40" s="6" t="s">
        <v>846</v>
      </c>
      <c r="AC40" s="6" t="s">
        <v>282</v>
      </c>
      <c r="AD40" s="6" t="s">
        <v>279</v>
      </c>
      <c r="AE40" s="6" t="s">
        <v>285</v>
      </c>
      <c r="AF40" s="4"/>
      <c r="AG40" s="4"/>
      <c r="AH40" s="4"/>
      <c r="AI40" s="4"/>
    </row>
    <row r="41" ht="24" customHeight="1" spans="1:35" s="4" customFormat="1" x14ac:dyDescent="0.25">
      <c r="A41" s="4">
        <v>37</v>
      </c>
      <c r="B41" s="4" t="s">
        <v>471</v>
      </c>
      <c r="C41" s="4" t="s">
        <v>472</v>
      </c>
      <c r="D41" s="4" t="s">
        <v>473</v>
      </c>
      <c r="E41" s="5" t="s">
        <v>474</v>
      </c>
      <c r="F41" s="4" t="s">
        <v>1022</v>
      </c>
      <c r="G41" s="4" t="s">
        <v>476</v>
      </c>
      <c r="H41" s="4" t="s">
        <v>836</v>
      </c>
      <c r="I41" s="4" t="s">
        <v>837</v>
      </c>
      <c r="J41" s="4" t="s">
        <v>1023</v>
      </c>
      <c r="K41" s="4" t="s">
        <v>1024</v>
      </c>
      <c r="L41" s="4" t="s">
        <v>1025</v>
      </c>
      <c r="M41" s="4" t="s">
        <v>841</v>
      </c>
      <c r="N41" s="4" t="s">
        <v>1026</v>
      </c>
      <c r="O41" s="4" t="s">
        <v>1022</v>
      </c>
      <c r="P41" s="4" t="s">
        <v>843</v>
      </c>
      <c r="Q41" s="4" t="s">
        <v>282</v>
      </c>
      <c r="R41" s="4" t="s">
        <v>282</v>
      </c>
      <c r="S41" s="4" t="s">
        <v>282</v>
      </c>
      <c r="T41" s="4" t="s">
        <v>282</v>
      </c>
      <c r="U41" s="4" t="s">
        <v>282</v>
      </c>
      <c r="V41" s="4" t="s">
        <v>282</v>
      </c>
      <c r="W41" s="4" t="s">
        <v>282</v>
      </c>
      <c r="X41" s="4" t="s">
        <v>844</v>
      </c>
      <c r="Y41" s="4" t="s">
        <v>845</v>
      </c>
      <c r="Z41" s="4" t="s">
        <v>546</v>
      </c>
      <c r="AA41" s="12" t="s">
        <v>286</v>
      </c>
      <c r="AB41" s="4" t="s">
        <v>846</v>
      </c>
      <c r="AC41" s="4" t="s">
        <v>282</v>
      </c>
      <c r="AD41" s="4" t="s">
        <v>279</v>
      </c>
      <c r="AE41" s="4" t="s">
        <v>285</v>
      </c>
      <c r="AF41" s="4"/>
      <c r="AG41" s="4"/>
      <c r="AH41" s="4"/>
      <c r="AI41" s="4"/>
    </row>
    <row r="42" ht="24" customHeight="1" spans="1:35" s="4" customFormat="1" x14ac:dyDescent="0.25">
      <c r="A42" s="6">
        <v>38</v>
      </c>
      <c r="B42" s="6" t="s">
        <v>477</v>
      </c>
      <c r="C42" s="6" t="s">
        <v>478</v>
      </c>
      <c r="D42" s="6" t="s">
        <v>473</v>
      </c>
      <c r="E42" s="7" t="s">
        <v>479</v>
      </c>
      <c r="F42" s="6" t="s">
        <v>1027</v>
      </c>
      <c r="G42" s="6" t="s">
        <v>481</v>
      </c>
      <c r="H42" s="6" t="s">
        <v>836</v>
      </c>
      <c r="I42" s="6" t="s">
        <v>837</v>
      </c>
      <c r="J42" s="6" t="s">
        <v>1028</v>
      </c>
      <c r="K42" s="6" t="s">
        <v>1029</v>
      </c>
      <c r="L42" s="6" t="s">
        <v>1030</v>
      </c>
      <c r="M42" s="6" t="s">
        <v>841</v>
      </c>
      <c r="N42" s="6" t="s">
        <v>1031</v>
      </c>
      <c r="O42" s="6" t="s">
        <v>1027</v>
      </c>
      <c r="P42" s="6" t="s">
        <v>843</v>
      </c>
      <c r="Q42" s="6" t="s">
        <v>282</v>
      </c>
      <c r="R42" s="6" t="s">
        <v>282</v>
      </c>
      <c r="S42" s="6" t="s">
        <v>282</v>
      </c>
      <c r="T42" s="6" t="s">
        <v>282</v>
      </c>
      <c r="U42" s="6" t="s">
        <v>282</v>
      </c>
      <c r="V42" s="6" t="s">
        <v>282</v>
      </c>
      <c r="W42" s="6" t="s">
        <v>282</v>
      </c>
      <c r="X42" s="6" t="s">
        <v>844</v>
      </c>
      <c r="Y42" s="6" t="s">
        <v>845</v>
      </c>
      <c r="Z42" s="6" t="s">
        <v>546</v>
      </c>
      <c r="AA42" s="13" t="s">
        <v>286</v>
      </c>
      <c r="AB42" s="6" t="s">
        <v>846</v>
      </c>
      <c r="AC42" s="6" t="s">
        <v>282</v>
      </c>
      <c r="AD42" s="6" t="s">
        <v>279</v>
      </c>
      <c r="AE42" s="6" t="s">
        <v>285</v>
      </c>
      <c r="AF42" s="4"/>
      <c r="AG42" s="4"/>
      <c r="AH42" s="4"/>
      <c r="AI42" s="4"/>
    </row>
    <row r="43" ht="24" customHeight="1" spans="1:35" s="4" customFormat="1" x14ac:dyDescent="0.25">
      <c r="A43" s="4">
        <v>39</v>
      </c>
      <c r="B43" s="4" t="s">
        <v>482</v>
      </c>
      <c r="C43" s="4" t="s">
        <v>483</v>
      </c>
      <c r="D43" s="4" t="s">
        <v>276</v>
      </c>
      <c r="E43" s="5" t="s">
        <v>484</v>
      </c>
      <c r="F43" s="4" t="s">
        <v>1032</v>
      </c>
      <c r="G43" s="4" t="s">
        <v>486</v>
      </c>
      <c r="H43" s="4" t="s">
        <v>836</v>
      </c>
      <c r="I43" s="4" t="s">
        <v>837</v>
      </c>
      <c r="J43" s="4" t="s">
        <v>1033</v>
      </c>
      <c r="K43" s="4" t="s">
        <v>1034</v>
      </c>
      <c r="L43" s="4" t="s">
        <v>1035</v>
      </c>
      <c r="M43" s="4" t="s">
        <v>841</v>
      </c>
      <c r="N43" s="4" t="s">
        <v>1036</v>
      </c>
      <c r="O43" s="4" t="s">
        <v>1037</v>
      </c>
      <c r="P43" s="4" t="s">
        <v>843</v>
      </c>
      <c r="Q43" s="4" t="s">
        <v>282</v>
      </c>
      <c r="R43" s="4" t="s">
        <v>282</v>
      </c>
      <c r="S43" s="4" t="s">
        <v>282</v>
      </c>
      <c r="T43" s="4" t="s">
        <v>282</v>
      </c>
      <c r="U43" s="4" t="s">
        <v>282</v>
      </c>
      <c r="V43" s="4" t="s">
        <v>282</v>
      </c>
      <c r="W43" s="4" t="s">
        <v>282</v>
      </c>
      <c r="X43" s="4" t="s">
        <v>844</v>
      </c>
      <c r="Y43" s="4" t="s">
        <v>845</v>
      </c>
      <c r="Z43" s="4" t="s">
        <v>546</v>
      </c>
      <c r="AA43" s="12" t="s">
        <v>286</v>
      </c>
      <c r="AB43" s="4" t="s">
        <v>846</v>
      </c>
      <c r="AC43" s="4" t="s">
        <v>282</v>
      </c>
      <c r="AD43" s="4" t="s">
        <v>279</v>
      </c>
      <c r="AE43" s="4" t="s">
        <v>285</v>
      </c>
      <c r="AF43" s="4"/>
      <c r="AG43" s="4"/>
      <c r="AH43" s="4"/>
      <c r="AI43" s="4"/>
    </row>
    <row r="44" ht="24" customHeight="1" spans="1:35" s="4" customFormat="1" x14ac:dyDescent="0.25">
      <c r="A44" s="6">
        <v>40</v>
      </c>
      <c r="B44" s="6" t="s">
        <v>487</v>
      </c>
      <c r="C44" s="6" t="s">
        <v>488</v>
      </c>
      <c r="D44" s="6" t="s">
        <v>352</v>
      </c>
      <c r="E44" s="7" t="s">
        <v>489</v>
      </c>
      <c r="F44" s="6" t="s">
        <v>1038</v>
      </c>
      <c r="G44" s="6" t="s">
        <v>491</v>
      </c>
      <c r="H44" s="6" t="s">
        <v>836</v>
      </c>
      <c r="I44" s="6" t="s">
        <v>837</v>
      </c>
      <c r="J44" s="6" t="s">
        <v>1039</v>
      </c>
      <c r="K44" s="6" t="s">
        <v>1040</v>
      </c>
      <c r="L44" s="6" t="s">
        <v>1041</v>
      </c>
      <c r="M44" s="6" t="s">
        <v>841</v>
      </c>
      <c r="N44" s="6" t="s">
        <v>1042</v>
      </c>
      <c r="O44" s="6" t="s">
        <v>1043</v>
      </c>
      <c r="P44" s="6" t="s">
        <v>843</v>
      </c>
      <c r="Q44" s="6" t="s">
        <v>282</v>
      </c>
      <c r="R44" s="6" t="s">
        <v>282</v>
      </c>
      <c r="S44" s="6" t="s">
        <v>282</v>
      </c>
      <c r="T44" s="6" t="s">
        <v>282</v>
      </c>
      <c r="U44" s="6" t="s">
        <v>282</v>
      </c>
      <c r="V44" s="6" t="s">
        <v>282</v>
      </c>
      <c r="W44" s="6" t="s">
        <v>282</v>
      </c>
      <c r="X44" s="6" t="s">
        <v>844</v>
      </c>
      <c r="Y44" s="6" t="s">
        <v>845</v>
      </c>
      <c r="Z44" s="6" t="s">
        <v>546</v>
      </c>
      <c r="AA44" s="13" t="s">
        <v>286</v>
      </c>
      <c r="AB44" s="6" t="s">
        <v>846</v>
      </c>
      <c r="AC44" s="6" t="s">
        <v>282</v>
      </c>
      <c r="AD44" s="6" t="s">
        <v>279</v>
      </c>
      <c r="AE44" s="6" t="s">
        <v>285</v>
      </c>
      <c r="AF44" s="4"/>
      <c r="AG44" s="4"/>
      <c r="AH44" s="4"/>
      <c r="AI44" s="4"/>
    </row>
    <row r="45" ht="24" customHeight="1" spans="1:35" s="4" customFormat="1" x14ac:dyDescent="0.25">
      <c r="A45" s="4">
        <v>41</v>
      </c>
      <c r="B45" s="4" t="s">
        <v>492</v>
      </c>
      <c r="C45" s="4" t="s">
        <v>493</v>
      </c>
      <c r="D45" s="4" t="s">
        <v>352</v>
      </c>
      <c r="E45" s="5" t="s">
        <v>494</v>
      </c>
      <c r="F45" s="4" t="s">
        <v>1044</v>
      </c>
      <c r="G45" s="4" t="s">
        <v>496</v>
      </c>
      <c r="H45" s="4" t="s">
        <v>836</v>
      </c>
      <c r="I45" s="4" t="s">
        <v>837</v>
      </c>
      <c r="J45" s="4" t="s">
        <v>1045</v>
      </c>
      <c r="K45" s="4" t="s">
        <v>1046</v>
      </c>
      <c r="L45" s="4" t="s">
        <v>1047</v>
      </c>
      <c r="M45" s="4" t="s">
        <v>841</v>
      </c>
      <c r="N45" s="4" t="s">
        <v>1048</v>
      </c>
      <c r="O45" s="4" t="s">
        <v>1049</v>
      </c>
      <c r="P45" s="4" t="s">
        <v>843</v>
      </c>
      <c r="Q45" s="4" t="s">
        <v>282</v>
      </c>
      <c r="R45" s="4" t="s">
        <v>282</v>
      </c>
      <c r="S45" s="4" t="s">
        <v>282</v>
      </c>
      <c r="T45" s="4" t="s">
        <v>282</v>
      </c>
      <c r="U45" s="4" t="s">
        <v>282</v>
      </c>
      <c r="V45" s="4" t="s">
        <v>282</v>
      </c>
      <c r="W45" s="4" t="s">
        <v>282</v>
      </c>
      <c r="X45" s="4" t="s">
        <v>844</v>
      </c>
      <c r="Y45" s="4" t="s">
        <v>845</v>
      </c>
      <c r="Z45" s="4" t="s">
        <v>546</v>
      </c>
      <c r="AA45" s="12" t="s">
        <v>286</v>
      </c>
      <c r="AB45" s="4" t="s">
        <v>846</v>
      </c>
      <c r="AC45" s="4" t="s">
        <v>282</v>
      </c>
      <c r="AD45" s="4" t="s">
        <v>279</v>
      </c>
      <c r="AE45" s="4" t="s">
        <v>285</v>
      </c>
      <c r="AF45" s="4"/>
      <c r="AG45" s="4"/>
      <c r="AH45" s="4"/>
      <c r="AI45" s="4"/>
    </row>
    <row r="46" ht="24" customHeight="1" spans="1:35" s="4" customFormat="1" x14ac:dyDescent="0.25">
      <c r="A46" s="6">
        <v>42</v>
      </c>
      <c r="B46" s="6" t="s">
        <v>497</v>
      </c>
      <c r="C46" s="6" t="s">
        <v>498</v>
      </c>
      <c r="D46" s="6" t="s">
        <v>352</v>
      </c>
      <c r="E46" s="7" t="s">
        <v>499</v>
      </c>
      <c r="F46" s="6" t="s">
        <v>1050</v>
      </c>
      <c r="G46" s="6" t="s">
        <v>501</v>
      </c>
      <c r="H46" s="6" t="s">
        <v>836</v>
      </c>
      <c r="I46" s="6" t="s">
        <v>837</v>
      </c>
      <c r="J46" s="6" t="s">
        <v>1051</v>
      </c>
      <c r="K46" s="6" t="s">
        <v>1052</v>
      </c>
      <c r="L46" s="6" t="s">
        <v>1053</v>
      </c>
      <c r="M46" s="6" t="s">
        <v>841</v>
      </c>
      <c r="N46" s="6" t="s">
        <v>1054</v>
      </c>
      <c r="O46" s="6" t="s">
        <v>1055</v>
      </c>
      <c r="P46" s="6" t="s">
        <v>843</v>
      </c>
      <c r="Q46" s="6" t="s">
        <v>282</v>
      </c>
      <c r="R46" s="6" t="s">
        <v>282</v>
      </c>
      <c r="S46" s="6" t="s">
        <v>282</v>
      </c>
      <c r="T46" s="6" t="s">
        <v>282</v>
      </c>
      <c r="U46" s="6" t="s">
        <v>282</v>
      </c>
      <c r="V46" s="6" t="s">
        <v>282</v>
      </c>
      <c r="W46" s="6" t="s">
        <v>282</v>
      </c>
      <c r="X46" s="6" t="s">
        <v>844</v>
      </c>
      <c r="Y46" s="6" t="s">
        <v>845</v>
      </c>
      <c r="Z46" s="6" t="s">
        <v>546</v>
      </c>
      <c r="AA46" s="13" t="s">
        <v>286</v>
      </c>
      <c r="AB46" s="6" t="s">
        <v>846</v>
      </c>
      <c r="AC46" s="6" t="s">
        <v>282</v>
      </c>
      <c r="AD46" s="6" t="s">
        <v>279</v>
      </c>
      <c r="AE46" s="6" t="s">
        <v>285</v>
      </c>
      <c r="AF46" s="4"/>
      <c r="AG46" s="4"/>
      <c r="AH46" s="4"/>
      <c r="AI46" s="4"/>
    </row>
    <row r="47" ht="24" customHeight="1" spans="1:35" s="4" customFormat="1" x14ac:dyDescent="0.25">
      <c r="A47" s="4">
        <v>43</v>
      </c>
      <c r="B47" s="4" t="s">
        <v>502</v>
      </c>
      <c r="C47" s="4" t="s">
        <v>503</v>
      </c>
      <c r="D47" s="4" t="s">
        <v>451</v>
      </c>
      <c r="E47" s="5" t="s">
        <v>504</v>
      </c>
      <c r="F47" s="4" t="s">
        <v>1056</v>
      </c>
      <c r="G47" s="4" t="s">
        <v>506</v>
      </c>
      <c r="H47" s="4" t="s">
        <v>836</v>
      </c>
      <c r="I47" s="4" t="s">
        <v>837</v>
      </c>
      <c r="J47" s="4" t="s">
        <v>1057</v>
      </c>
      <c r="K47" s="4" t="s">
        <v>1058</v>
      </c>
      <c r="L47" s="4" t="s">
        <v>1059</v>
      </c>
      <c r="M47" s="4" t="s">
        <v>841</v>
      </c>
      <c r="N47" s="4" t="s">
        <v>1060</v>
      </c>
      <c r="O47" s="4" t="s">
        <v>1061</v>
      </c>
      <c r="P47" s="4" t="s">
        <v>843</v>
      </c>
      <c r="Q47" s="4" t="s">
        <v>282</v>
      </c>
      <c r="R47" s="4" t="s">
        <v>282</v>
      </c>
      <c r="S47" s="4" t="s">
        <v>282</v>
      </c>
      <c r="T47" s="4" t="s">
        <v>282</v>
      </c>
      <c r="U47" s="4" t="s">
        <v>282</v>
      </c>
      <c r="V47" s="4" t="s">
        <v>282</v>
      </c>
      <c r="W47" s="4" t="s">
        <v>282</v>
      </c>
      <c r="X47" s="4" t="s">
        <v>844</v>
      </c>
      <c r="Y47" s="4" t="s">
        <v>845</v>
      </c>
      <c r="Z47" s="4" t="s">
        <v>546</v>
      </c>
      <c r="AA47" s="12" t="s">
        <v>286</v>
      </c>
      <c r="AB47" s="4" t="s">
        <v>846</v>
      </c>
      <c r="AC47" s="4" t="s">
        <v>282</v>
      </c>
      <c r="AD47" s="4" t="s">
        <v>279</v>
      </c>
      <c r="AE47" s="4" t="s">
        <v>285</v>
      </c>
      <c r="AF47" s="4"/>
      <c r="AG47" s="4"/>
      <c r="AH47" s="4"/>
      <c r="AI47" s="4"/>
    </row>
    <row r="48" ht="24" customHeight="1" spans="1:35" s="4" customFormat="1" x14ac:dyDescent="0.25">
      <c r="A48" s="6">
        <v>44</v>
      </c>
      <c r="B48" s="6" t="s">
        <v>507</v>
      </c>
      <c r="C48" s="6" t="s">
        <v>508</v>
      </c>
      <c r="D48" s="6" t="s">
        <v>462</v>
      </c>
      <c r="E48" s="7" t="s">
        <v>509</v>
      </c>
      <c r="F48" s="6" t="s">
        <v>1062</v>
      </c>
      <c r="G48" s="6" t="s">
        <v>511</v>
      </c>
      <c r="H48" s="6" t="s">
        <v>836</v>
      </c>
      <c r="I48" s="6" t="s">
        <v>837</v>
      </c>
      <c r="J48" s="6" t="s">
        <v>1063</v>
      </c>
      <c r="K48" s="6" t="s">
        <v>1064</v>
      </c>
      <c r="L48" s="6" t="s">
        <v>1065</v>
      </c>
      <c r="M48" s="6" t="s">
        <v>841</v>
      </c>
      <c r="N48" s="6" t="s">
        <v>1066</v>
      </c>
      <c r="O48" s="6" t="s">
        <v>1067</v>
      </c>
      <c r="P48" s="6" t="s">
        <v>843</v>
      </c>
      <c r="Q48" s="6" t="s">
        <v>282</v>
      </c>
      <c r="R48" s="6" t="s">
        <v>282</v>
      </c>
      <c r="S48" s="6" t="s">
        <v>282</v>
      </c>
      <c r="T48" s="6" t="s">
        <v>282</v>
      </c>
      <c r="U48" s="6" t="s">
        <v>282</v>
      </c>
      <c r="V48" s="6" t="s">
        <v>282</v>
      </c>
      <c r="W48" s="6" t="s">
        <v>282</v>
      </c>
      <c r="X48" s="6" t="s">
        <v>844</v>
      </c>
      <c r="Y48" s="6" t="s">
        <v>845</v>
      </c>
      <c r="Z48" s="6" t="s">
        <v>546</v>
      </c>
      <c r="AA48" s="13" t="s">
        <v>286</v>
      </c>
      <c r="AB48" s="6" t="s">
        <v>846</v>
      </c>
      <c r="AC48" s="6" t="s">
        <v>282</v>
      </c>
      <c r="AD48" s="6" t="s">
        <v>279</v>
      </c>
      <c r="AE48" s="6" t="s">
        <v>285</v>
      </c>
      <c r="AF48" s="4"/>
      <c r="AG48" s="4"/>
      <c r="AH48" s="4"/>
      <c r="AI48" s="4"/>
    </row>
    <row r="49" ht="24" customHeight="1" spans="1:35" s="4" customFormat="1" x14ac:dyDescent="0.25">
      <c r="A49" s="4">
        <v>45</v>
      </c>
      <c r="B49" s="4" t="s">
        <v>512</v>
      </c>
      <c r="C49" s="4" t="s">
        <v>513</v>
      </c>
      <c r="D49" s="4" t="s">
        <v>352</v>
      </c>
      <c r="E49" s="5" t="s">
        <v>514</v>
      </c>
      <c r="F49" s="4" t="s">
        <v>1068</v>
      </c>
      <c r="G49" s="4" t="s">
        <v>516</v>
      </c>
      <c r="H49" s="4" t="s">
        <v>836</v>
      </c>
      <c r="I49" s="4" t="s">
        <v>837</v>
      </c>
      <c r="J49" s="4" t="s">
        <v>1069</v>
      </c>
      <c r="K49" s="4" t="s">
        <v>1070</v>
      </c>
      <c r="L49" s="4" t="s">
        <v>1071</v>
      </c>
      <c r="M49" s="4" t="s">
        <v>841</v>
      </c>
      <c r="N49" s="4" t="s">
        <v>1072</v>
      </c>
      <c r="O49" s="4" t="s">
        <v>1073</v>
      </c>
      <c r="P49" s="4" t="s">
        <v>843</v>
      </c>
      <c r="Q49" s="4" t="s">
        <v>282</v>
      </c>
      <c r="R49" s="4" t="s">
        <v>282</v>
      </c>
      <c r="S49" s="4" t="s">
        <v>282</v>
      </c>
      <c r="T49" s="4" t="s">
        <v>282</v>
      </c>
      <c r="U49" s="4" t="s">
        <v>282</v>
      </c>
      <c r="V49" s="4" t="s">
        <v>282</v>
      </c>
      <c r="W49" s="4" t="s">
        <v>282</v>
      </c>
      <c r="X49" s="4" t="s">
        <v>844</v>
      </c>
      <c r="Y49" s="4" t="s">
        <v>845</v>
      </c>
      <c r="Z49" s="4" t="s">
        <v>546</v>
      </c>
      <c r="AA49" s="12" t="s">
        <v>286</v>
      </c>
      <c r="AB49" s="4" t="s">
        <v>846</v>
      </c>
      <c r="AC49" s="4" t="s">
        <v>282</v>
      </c>
      <c r="AD49" s="4" t="s">
        <v>279</v>
      </c>
      <c r="AE49" s="4" t="s">
        <v>285</v>
      </c>
      <c r="AF49" s="4"/>
      <c r="AG49" s="4"/>
      <c r="AH49" s="4"/>
      <c r="AI49" s="4"/>
    </row>
    <row r="50" ht="24" customHeight="1" spans="1:35" s="4" customFormat="1" x14ac:dyDescent="0.25">
      <c r="A50" s="6">
        <v>46</v>
      </c>
      <c r="B50" s="6" t="s">
        <v>517</v>
      </c>
      <c r="C50" s="6" t="s">
        <v>518</v>
      </c>
      <c r="D50" s="6" t="s">
        <v>352</v>
      </c>
      <c r="E50" s="7" t="s">
        <v>519</v>
      </c>
      <c r="F50" s="6" t="s">
        <v>1074</v>
      </c>
      <c r="G50" s="6" t="s">
        <v>521</v>
      </c>
      <c r="H50" s="6" t="s">
        <v>836</v>
      </c>
      <c r="I50" s="6" t="s">
        <v>837</v>
      </c>
      <c r="J50" s="6" t="s">
        <v>1075</v>
      </c>
      <c r="K50" s="6" t="s">
        <v>1076</v>
      </c>
      <c r="L50" s="6" t="s">
        <v>1077</v>
      </c>
      <c r="M50" s="6" t="s">
        <v>841</v>
      </c>
      <c r="N50" s="6" t="s">
        <v>1078</v>
      </c>
      <c r="O50" s="6" t="s">
        <v>1079</v>
      </c>
      <c r="P50" s="6" t="s">
        <v>843</v>
      </c>
      <c r="Q50" s="6" t="s">
        <v>282</v>
      </c>
      <c r="R50" s="6" t="s">
        <v>282</v>
      </c>
      <c r="S50" s="6" t="s">
        <v>282</v>
      </c>
      <c r="T50" s="6" t="s">
        <v>282</v>
      </c>
      <c r="U50" s="6" t="s">
        <v>282</v>
      </c>
      <c r="V50" s="6" t="s">
        <v>282</v>
      </c>
      <c r="W50" s="6" t="s">
        <v>282</v>
      </c>
      <c r="X50" s="6" t="s">
        <v>844</v>
      </c>
      <c r="Y50" s="6" t="s">
        <v>845</v>
      </c>
      <c r="Z50" s="6" t="s">
        <v>546</v>
      </c>
      <c r="AA50" s="13" t="s">
        <v>286</v>
      </c>
      <c r="AB50" s="6" t="s">
        <v>846</v>
      </c>
      <c r="AC50" s="6" t="s">
        <v>282</v>
      </c>
      <c r="AD50" s="6" t="s">
        <v>279</v>
      </c>
      <c r="AE50" s="6" t="s">
        <v>285</v>
      </c>
      <c r="AF50" s="4"/>
      <c r="AG50" s="4"/>
      <c r="AH50" s="4"/>
      <c r="AI50" s="4"/>
    </row>
    <row r="51" ht="24" customHeight="1" spans="1:35" s="4" customFormat="1" x14ac:dyDescent="0.25">
      <c r="A51" s="4">
        <v>47</v>
      </c>
      <c r="B51" s="4" t="s">
        <v>522</v>
      </c>
      <c r="C51" s="4" t="s">
        <v>523</v>
      </c>
      <c r="D51" s="4" t="s">
        <v>276</v>
      </c>
      <c r="E51" s="5" t="s">
        <v>524</v>
      </c>
      <c r="F51" s="4" t="s">
        <v>1080</v>
      </c>
      <c r="G51" s="4" t="s">
        <v>526</v>
      </c>
      <c r="H51" s="4" t="s">
        <v>836</v>
      </c>
      <c r="I51" s="4" t="s">
        <v>837</v>
      </c>
      <c r="J51" s="4" t="s">
        <v>1081</v>
      </c>
      <c r="K51" s="4" t="s">
        <v>1082</v>
      </c>
      <c r="L51" s="4" t="s">
        <v>1083</v>
      </c>
      <c r="M51" s="4" t="s">
        <v>841</v>
      </c>
      <c r="N51" s="4" t="s">
        <v>1084</v>
      </c>
      <c r="O51" s="4" t="s">
        <v>1085</v>
      </c>
      <c r="P51" s="4" t="s">
        <v>843</v>
      </c>
      <c r="Q51" s="4" t="s">
        <v>282</v>
      </c>
      <c r="R51" s="4" t="s">
        <v>282</v>
      </c>
      <c r="S51" s="4" t="s">
        <v>282</v>
      </c>
      <c r="T51" s="4" t="s">
        <v>282</v>
      </c>
      <c r="U51" s="4" t="s">
        <v>282</v>
      </c>
      <c r="V51" s="4" t="s">
        <v>282</v>
      </c>
      <c r="W51" s="4" t="s">
        <v>282</v>
      </c>
      <c r="X51" s="4" t="s">
        <v>844</v>
      </c>
      <c r="Y51" s="4" t="s">
        <v>845</v>
      </c>
      <c r="Z51" s="4" t="s">
        <v>546</v>
      </c>
      <c r="AA51" s="12" t="s">
        <v>286</v>
      </c>
      <c r="AB51" s="4" t="s">
        <v>846</v>
      </c>
      <c r="AC51" s="4" t="s">
        <v>282</v>
      </c>
      <c r="AD51" s="4" t="s">
        <v>279</v>
      </c>
      <c r="AE51" s="4" t="s">
        <v>285</v>
      </c>
      <c r="AF51" s="4"/>
      <c r="AG51" s="4"/>
      <c r="AH51" s="4"/>
      <c r="AI51" s="4"/>
    </row>
  </sheetData>
  <dataValidations count="2">
    <dataValidation type="list" showErrorMessage="1" errorTitle="Invalid Status" error="Please select APPROVED, PENDING, REJECTED, NEEDS_REVIEW, or RETEST" sqref="AA10:AA51">
      <formula1>"APPROVED,PENDING,REJECTED,NEEDS_REVIEW,RETEST"</formula1>
    </dataValidation>
    <dataValidation type="list" showErrorMessage="1" errorTitle="Invalid Status" error="Please select APPROVED, PENDING, REJECTED, NEEDS_REVIEW, or RETEST" sqref="AA5:AA51">
      <formula1>"APPROVED,PENDING,REJECTED,NEEDS_REVIEW,RETEST"</formula1>
    </dataValidation>
  </dataValidations>
  <hyperlinks>
    <hyperlink ref="A1" r:id="rId1" location="#'P-00 INDEX'!A1"/>
    <hyperlink ref="B1" r:id="rId2" location="#'P-Utilities'!A1"/>
    <hyperlink ref="E5" r:id="rId3"/>
    <hyperlink ref="E6" r:id="rId4"/>
    <hyperlink ref="E7" r:id="rId5"/>
    <hyperlink ref="E8" r:id="rId6"/>
    <hyperlink ref="E9" r:id="rId7"/>
    <hyperlink ref="E10" r:id="rId8"/>
    <hyperlink ref="E11" r:id="rId9"/>
    <hyperlink ref="E12" r:id="rId10"/>
    <hyperlink ref="E13" r:id="rId11"/>
    <hyperlink ref="E14" r:id="rId12"/>
    <hyperlink ref="E15" r:id="rId13"/>
    <hyperlink ref="E16" r:id="rId14"/>
    <hyperlink ref="E17" r:id="rId15"/>
    <hyperlink ref="E18" r:id="rId16"/>
    <hyperlink ref="E19" r:id="rId17"/>
    <hyperlink ref="E20" r:id="rId18"/>
    <hyperlink ref="E21" r:id="rId19"/>
    <hyperlink ref="E22" r:id="rId20"/>
    <hyperlink ref="E23" r:id="rId21"/>
    <hyperlink ref="E24" r:id="rId22"/>
    <hyperlink ref="E25" r:id="rId23"/>
    <hyperlink ref="E26" r:id="rId24"/>
    <hyperlink ref="E27" r:id="rId25"/>
    <hyperlink ref="E28" r:id="rId26"/>
    <hyperlink ref="E29" r:id="rId27"/>
    <hyperlink ref="E30" r:id="rId28"/>
    <hyperlink ref="E31" r:id="rId29"/>
    <hyperlink ref="E32" r:id="rId30"/>
    <hyperlink ref="E33" r:id="rId31"/>
    <hyperlink ref="E34" r:id="rId32"/>
    <hyperlink ref="E35" r:id="rId33"/>
    <hyperlink ref="E36" r:id="rId34"/>
    <hyperlink ref="E37" r:id="rId35"/>
    <hyperlink ref="E38" r:id="rId36"/>
    <hyperlink ref="E39" r:id="rId37"/>
    <hyperlink ref="E40" r:id="rId38"/>
    <hyperlink ref="E41" r:id="rId39"/>
    <hyperlink ref="E42" r:id="rId40"/>
    <hyperlink ref="E43" r:id="rId41"/>
    <hyperlink ref="E44" r:id="rId42"/>
    <hyperlink ref="E45" r:id="rId43"/>
    <hyperlink ref="E46" r:id="rId44"/>
    <hyperlink ref="E47" r:id="rId45"/>
    <hyperlink ref="E48" r:id="rId46"/>
    <hyperlink ref="E49" r:id="rId47"/>
    <hyperlink ref="E50" r:id="rId48"/>
    <hyperlink ref="E51" r:id="rId49"/>
  </hyperlink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98"/>
  <sheetViews>
    <sheetView workbookViewId="0"/>
  </sheetViews>
  <sheetFormatPr defaultRowHeight="15" outlineLevelRow="0" outlineLevelCol="0" x14ac:dyDescent="55"/>
  <cols>
    <col min="1" max="1" width="52" customWidth="1"/>
    <col min="2" max="2" width="32" customWidth="1"/>
    <col min="3" max="3" width="23" customWidth="1"/>
    <col min="4" max="4" width="31" customWidth="1"/>
    <col min="5" max="5" width="57" customWidth="1"/>
    <col min="6" max="6" width="15" customWidth="1"/>
    <col min="7" max="7" width="19" customWidth="1"/>
    <col min="8" max="9" width="63" customWidth="1"/>
    <col min="10" max="10" width="18" customWidth="1"/>
    <col min="11" max="35" width="15" customWidth="1"/>
  </cols>
  <sheetData>
    <row r="1" ht="24" customHeight="1" spans="1:35" x14ac:dyDescent="0.25">
      <c r="A1" s="8" t="s">
        <v>117</v>
      </c>
      <c r="B1" s="8" t="s">
        <v>1086</v>
      </c>
    </row>
    <row r="2" spans="1:35" x14ac:dyDescent="0.25">
      <c r="A2" s="1" t="s">
        <v>1087</v>
      </c>
    </row>
    <row r="4" ht="26" customHeight="1" spans="1:35" s="14" customFormat="1" x14ac:dyDescent="0.25">
      <c r="A4" s="14" t="s">
        <v>2</v>
      </c>
      <c r="B4" s="14" t="s">
        <v>1088</v>
      </c>
      <c r="C4" s="14" t="s">
        <v>1089</v>
      </c>
      <c r="D4" s="14" t="s">
        <v>254</v>
      </c>
      <c r="E4" s="14" t="s">
        <v>255</v>
      </c>
      <c r="F4" s="14" t="s">
        <v>259</v>
      </c>
      <c r="G4" s="14" t="s">
        <v>1090</v>
      </c>
      <c r="H4" s="14" t="s">
        <v>1091</v>
      </c>
      <c r="I4" s="14" t="s">
        <v>1092</v>
      </c>
      <c r="J4" s="14" t="s">
        <v>1093</v>
      </c>
      <c r="K4" s="14"/>
      <c r="L4" s="14"/>
      <c r="M4" s="14"/>
      <c r="N4" s="14"/>
      <c r="O4" s="14"/>
      <c r="P4" s="14"/>
      <c r="Q4" s="14"/>
      <c r="R4" s="14"/>
      <c r="S4" s="14"/>
      <c r="T4" s="14"/>
      <c r="U4" s="14"/>
      <c r="V4" s="14"/>
      <c r="W4" s="14"/>
      <c r="X4" s="14"/>
      <c r="Y4" s="14"/>
      <c r="Z4" s="14"/>
      <c r="AA4" s="14"/>
      <c r="AB4" s="14"/>
      <c r="AC4" s="14"/>
      <c r="AD4" s="14"/>
      <c r="AE4" s="14"/>
      <c r="AF4" s="14"/>
      <c r="AG4" s="14"/>
      <c r="AH4" s="14"/>
      <c r="AI4" s="14"/>
    </row>
    <row r="5" ht="24" customHeight="1" spans="1:35" s="4" customFormat="1" x14ac:dyDescent="0.25">
      <c r="A5" s="6">
        <v>1</v>
      </c>
      <c r="B5" s="6" t="s">
        <v>1094</v>
      </c>
      <c r="C5" s="6" t="s">
        <v>1095</v>
      </c>
      <c r="D5" s="6" t="s">
        <v>274</v>
      </c>
      <c r="E5" s="6" t="s">
        <v>275</v>
      </c>
      <c r="F5" s="6" t="s">
        <v>689</v>
      </c>
      <c r="G5" s="6" t="s">
        <v>1096</v>
      </c>
      <c r="H5" s="6" t="s">
        <v>1097</v>
      </c>
      <c r="I5" s="6" t="s">
        <v>1098</v>
      </c>
      <c r="J5" s="6" t="s">
        <v>548</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4">
        <v>2</v>
      </c>
      <c r="B6" s="4" t="s">
        <v>1099</v>
      </c>
      <c r="C6" s="4" t="s">
        <v>1100</v>
      </c>
      <c r="D6" s="4" t="s">
        <v>274</v>
      </c>
      <c r="E6" s="4" t="s">
        <v>275</v>
      </c>
      <c r="F6" s="4" t="s">
        <v>695</v>
      </c>
      <c r="G6" s="4" t="s">
        <v>1101</v>
      </c>
      <c r="H6" s="4" t="s">
        <v>1102</v>
      </c>
      <c r="I6" s="4" t="s">
        <v>1103</v>
      </c>
      <c r="J6" s="4" t="s">
        <v>548</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6">
        <v>3</v>
      </c>
      <c r="B7" s="6" t="s">
        <v>1104</v>
      </c>
      <c r="C7" s="6" t="s">
        <v>1095</v>
      </c>
      <c r="D7" s="6" t="s">
        <v>289</v>
      </c>
      <c r="E7" s="6" t="s">
        <v>290</v>
      </c>
      <c r="F7" s="6" t="s">
        <v>689</v>
      </c>
      <c r="G7" s="6" t="s">
        <v>1096</v>
      </c>
      <c r="H7" s="6" t="s">
        <v>1097</v>
      </c>
      <c r="I7" s="6" t="s">
        <v>1098</v>
      </c>
      <c r="J7" s="6" t="s">
        <v>548</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4</v>
      </c>
      <c r="B8" s="4" t="s">
        <v>1105</v>
      </c>
      <c r="C8" s="4" t="s">
        <v>1100</v>
      </c>
      <c r="D8" s="4" t="s">
        <v>289</v>
      </c>
      <c r="E8" s="4" t="s">
        <v>290</v>
      </c>
      <c r="F8" s="4" t="s">
        <v>695</v>
      </c>
      <c r="G8" s="4" t="s">
        <v>1101</v>
      </c>
      <c r="H8" s="4" t="s">
        <v>1102</v>
      </c>
      <c r="I8" s="4" t="s">
        <v>1103</v>
      </c>
      <c r="J8" s="4" t="s">
        <v>548</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5</v>
      </c>
      <c r="B9" s="6" t="s">
        <v>1106</v>
      </c>
      <c r="C9" s="6" t="s">
        <v>1095</v>
      </c>
      <c r="D9" s="6" t="s">
        <v>294</v>
      </c>
      <c r="E9" s="6" t="s">
        <v>295</v>
      </c>
      <c r="F9" s="6" t="s">
        <v>689</v>
      </c>
      <c r="G9" s="6" t="s">
        <v>1096</v>
      </c>
      <c r="H9" s="6" t="s">
        <v>1097</v>
      </c>
      <c r="I9" s="6" t="s">
        <v>1098</v>
      </c>
      <c r="J9" s="6" t="s">
        <v>548</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6</v>
      </c>
      <c r="B10" s="4" t="s">
        <v>1107</v>
      </c>
      <c r="C10" s="4" t="s">
        <v>1100</v>
      </c>
      <c r="D10" s="4" t="s">
        <v>294</v>
      </c>
      <c r="E10" s="4" t="s">
        <v>295</v>
      </c>
      <c r="F10" s="4" t="s">
        <v>695</v>
      </c>
      <c r="G10" s="4" t="s">
        <v>1101</v>
      </c>
      <c r="H10" s="4" t="s">
        <v>1102</v>
      </c>
      <c r="I10" s="4" t="s">
        <v>1103</v>
      </c>
      <c r="J10" s="4" t="s">
        <v>548</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7</v>
      </c>
      <c r="B11" s="6" t="s">
        <v>1108</v>
      </c>
      <c r="C11" s="6" t="s">
        <v>1095</v>
      </c>
      <c r="D11" s="6" t="s">
        <v>299</v>
      </c>
      <c r="E11" s="6" t="s">
        <v>300</v>
      </c>
      <c r="F11" s="6" t="s">
        <v>689</v>
      </c>
      <c r="G11" s="6" t="s">
        <v>1096</v>
      </c>
      <c r="H11" s="6" t="s">
        <v>1097</v>
      </c>
      <c r="I11" s="6" t="s">
        <v>1098</v>
      </c>
      <c r="J11" s="6" t="s">
        <v>548</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8</v>
      </c>
      <c r="B12" s="4" t="s">
        <v>1109</v>
      </c>
      <c r="C12" s="4" t="s">
        <v>1100</v>
      </c>
      <c r="D12" s="4" t="s">
        <v>299</v>
      </c>
      <c r="E12" s="4" t="s">
        <v>300</v>
      </c>
      <c r="F12" s="4" t="s">
        <v>695</v>
      </c>
      <c r="G12" s="4" t="s">
        <v>1101</v>
      </c>
      <c r="H12" s="4" t="s">
        <v>1102</v>
      </c>
      <c r="I12" s="4" t="s">
        <v>1103</v>
      </c>
      <c r="J12" s="4" t="s">
        <v>548</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9</v>
      </c>
      <c r="B13" s="6" t="s">
        <v>1110</v>
      </c>
      <c r="C13" s="6" t="s">
        <v>1095</v>
      </c>
      <c r="D13" s="6" t="s">
        <v>304</v>
      </c>
      <c r="E13" s="6" t="s">
        <v>305</v>
      </c>
      <c r="F13" s="6" t="s">
        <v>689</v>
      </c>
      <c r="G13" s="6" t="s">
        <v>1096</v>
      </c>
      <c r="H13" s="6" t="s">
        <v>1097</v>
      </c>
      <c r="I13" s="6" t="s">
        <v>1098</v>
      </c>
      <c r="J13" s="6" t="s">
        <v>548</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10</v>
      </c>
      <c r="B14" s="4" t="s">
        <v>1111</v>
      </c>
      <c r="C14" s="4" t="s">
        <v>1100</v>
      </c>
      <c r="D14" s="4" t="s">
        <v>304</v>
      </c>
      <c r="E14" s="4" t="s">
        <v>305</v>
      </c>
      <c r="F14" s="4" t="s">
        <v>695</v>
      </c>
      <c r="G14" s="4" t="s">
        <v>1101</v>
      </c>
      <c r="H14" s="4" t="s">
        <v>1102</v>
      </c>
      <c r="I14" s="4" t="s">
        <v>1103</v>
      </c>
      <c r="J14" s="4" t="s">
        <v>548</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11</v>
      </c>
      <c r="B15" s="6" t="s">
        <v>1112</v>
      </c>
      <c r="C15" s="6" t="s">
        <v>1095</v>
      </c>
      <c r="D15" s="6" t="s">
        <v>309</v>
      </c>
      <c r="E15" s="6" t="s">
        <v>310</v>
      </c>
      <c r="F15" s="6" t="s">
        <v>689</v>
      </c>
      <c r="G15" s="6" t="s">
        <v>1096</v>
      </c>
      <c r="H15" s="6" t="s">
        <v>1097</v>
      </c>
      <c r="I15" s="6" t="s">
        <v>1098</v>
      </c>
      <c r="J15" s="6" t="s">
        <v>548</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12</v>
      </c>
      <c r="B16" s="4" t="s">
        <v>1113</v>
      </c>
      <c r="C16" s="4" t="s">
        <v>1100</v>
      </c>
      <c r="D16" s="4" t="s">
        <v>309</v>
      </c>
      <c r="E16" s="4" t="s">
        <v>310</v>
      </c>
      <c r="F16" s="4" t="s">
        <v>695</v>
      </c>
      <c r="G16" s="4" t="s">
        <v>1101</v>
      </c>
      <c r="H16" s="4" t="s">
        <v>1102</v>
      </c>
      <c r="I16" s="4" t="s">
        <v>1103</v>
      </c>
      <c r="J16" s="4" t="s">
        <v>548</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13</v>
      </c>
      <c r="B17" s="6" t="s">
        <v>1114</v>
      </c>
      <c r="C17" s="6" t="s">
        <v>1095</v>
      </c>
      <c r="D17" s="6" t="s">
        <v>314</v>
      </c>
      <c r="E17" s="6" t="s">
        <v>315</v>
      </c>
      <c r="F17" s="6" t="s">
        <v>689</v>
      </c>
      <c r="G17" s="6" t="s">
        <v>1096</v>
      </c>
      <c r="H17" s="6" t="s">
        <v>1097</v>
      </c>
      <c r="I17" s="6" t="s">
        <v>1098</v>
      </c>
      <c r="J17" s="6" t="s">
        <v>548</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14</v>
      </c>
      <c r="B18" s="4" t="s">
        <v>1115</v>
      </c>
      <c r="C18" s="4" t="s">
        <v>1100</v>
      </c>
      <c r="D18" s="4" t="s">
        <v>314</v>
      </c>
      <c r="E18" s="4" t="s">
        <v>315</v>
      </c>
      <c r="F18" s="4" t="s">
        <v>695</v>
      </c>
      <c r="G18" s="4" t="s">
        <v>1101</v>
      </c>
      <c r="H18" s="4" t="s">
        <v>1102</v>
      </c>
      <c r="I18" s="4" t="s">
        <v>1103</v>
      </c>
      <c r="J18" s="4" t="s">
        <v>548</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15</v>
      </c>
      <c r="B19" s="6" t="s">
        <v>1116</v>
      </c>
      <c r="C19" s="6" t="s">
        <v>1095</v>
      </c>
      <c r="D19" s="6" t="s">
        <v>319</v>
      </c>
      <c r="E19" s="6" t="s">
        <v>320</v>
      </c>
      <c r="F19" s="6" t="s">
        <v>689</v>
      </c>
      <c r="G19" s="6" t="s">
        <v>1096</v>
      </c>
      <c r="H19" s="6" t="s">
        <v>1097</v>
      </c>
      <c r="I19" s="6" t="s">
        <v>1098</v>
      </c>
      <c r="J19" s="6" t="s">
        <v>548</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16</v>
      </c>
      <c r="B20" s="4" t="s">
        <v>1117</v>
      </c>
      <c r="C20" s="4" t="s">
        <v>1100</v>
      </c>
      <c r="D20" s="4" t="s">
        <v>319</v>
      </c>
      <c r="E20" s="4" t="s">
        <v>320</v>
      </c>
      <c r="F20" s="4" t="s">
        <v>695</v>
      </c>
      <c r="G20" s="4" t="s">
        <v>1101</v>
      </c>
      <c r="H20" s="4" t="s">
        <v>1102</v>
      </c>
      <c r="I20" s="4" t="s">
        <v>1103</v>
      </c>
      <c r="J20" s="4" t="s">
        <v>548</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17</v>
      </c>
      <c r="B21" s="6" t="s">
        <v>1118</v>
      </c>
      <c r="C21" s="6" t="s">
        <v>1095</v>
      </c>
      <c r="D21" s="6" t="s">
        <v>325</v>
      </c>
      <c r="E21" s="6" t="s">
        <v>326</v>
      </c>
      <c r="F21" s="6" t="s">
        <v>689</v>
      </c>
      <c r="G21" s="6" t="s">
        <v>1096</v>
      </c>
      <c r="H21" s="6" t="s">
        <v>1097</v>
      </c>
      <c r="I21" s="6" t="s">
        <v>1098</v>
      </c>
      <c r="J21" s="6" t="s">
        <v>548</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18</v>
      </c>
      <c r="B22" s="4" t="s">
        <v>1119</v>
      </c>
      <c r="C22" s="4" t="s">
        <v>1100</v>
      </c>
      <c r="D22" s="4" t="s">
        <v>325</v>
      </c>
      <c r="E22" s="4" t="s">
        <v>326</v>
      </c>
      <c r="F22" s="4" t="s">
        <v>695</v>
      </c>
      <c r="G22" s="4" t="s">
        <v>1101</v>
      </c>
      <c r="H22" s="4" t="s">
        <v>1102</v>
      </c>
      <c r="I22" s="4" t="s">
        <v>1103</v>
      </c>
      <c r="J22" s="4" t="s">
        <v>548</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19</v>
      </c>
      <c r="B23" s="6" t="s">
        <v>1120</v>
      </c>
      <c r="C23" s="6" t="s">
        <v>1095</v>
      </c>
      <c r="D23" s="6" t="s">
        <v>330</v>
      </c>
      <c r="E23" s="6" t="s">
        <v>331</v>
      </c>
      <c r="F23" s="6" t="s">
        <v>689</v>
      </c>
      <c r="G23" s="6" t="s">
        <v>1096</v>
      </c>
      <c r="H23" s="6" t="s">
        <v>1097</v>
      </c>
      <c r="I23" s="6" t="s">
        <v>1098</v>
      </c>
      <c r="J23" s="6" t="s">
        <v>548</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20</v>
      </c>
      <c r="B24" s="4" t="s">
        <v>1121</v>
      </c>
      <c r="C24" s="4" t="s">
        <v>1100</v>
      </c>
      <c r="D24" s="4" t="s">
        <v>330</v>
      </c>
      <c r="E24" s="4" t="s">
        <v>331</v>
      </c>
      <c r="F24" s="4" t="s">
        <v>695</v>
      </c>
      <c r="G24" s="4" t="s">
        <v>1101</v>
      </c>
      <c r="H24" s="4" t="s">
        <v>1102</v>
      </c>
      <c r="I24" s="4" t="s">
        <v>1103</v>
      </c>
      <c r="J24" s="4" t="s">
        <v>548</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21</v>
      </c>
      <c r="B25" s="6" t="s">
        <v>1122</v>
      </c>
      <c r="C25" s="6" t="s">
        <v>1095</v>
      </c>
      <c r="D25" s="6" t="s">
        <v>335</v>
      </c>
      <c r="E25" s="6" t="s">
        <v>336</v>
      </c>
      <c r="F25" s="6" t="s">
        <v>689</v>
      </c>
      <c r="G25" s="6" t="s">
        <v>1096</v>
      </c>
      <c r="H25" s="6" t="s">
        <v>1097</v>
      </c>
      <c r="I25" s="6" t="s">
        <v>1098</v>
      </c>
      <c r="J25" s="6" t="s">
        <v>548</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22</v>
      </c>
      <c r="B26" s="4" t="s">
        <v>1123</v>
      </c>
      <c r="C26" s="4" t="s">
        <v>1100</v>
      </c>
      <c r="D26" s="4" t="s">
        <v>335</v>
      </c>
      <c r="E26" s="4" t="s">
        <v>336</v>
      </c>
      <c r="F26" s="4" t="s">
        <v>695</v>
      </c>
      <c r="G26" s="4" t="s">
        <v>1101</v>
      </c>
      <c r="H26" s="4" t="s">
        <v>1102</v>
      </c>
      <c r="I26" s="4" t="s">
        <v>1103</v>
      </c>
      <c r="J26" s="4" t="s">
        <v>548</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23</v>
      </c>
      <c r="B27" s="6" t="s">
        <v>1124</v>
      </c>
      <c r="C27" s="6" t="s">
        <v>1095</v>
      </c>
      <c r="D27" s="6" t="s">
        <v>340</v>
      </c>
      <c r="E27" s="6" t="s">
        <v>341</v>
      </c>
      <c r="F27" s="6" t="s">
        <v>689</v>
      </c>
      <c r="G27" s="6" t="s">
        <v>1096</v>
      </c>
      <c r="H27" s="6" t="s">
        <v>1097</v>
      </c>
      <c r="I27" s="6" t="s">
        <v>1098</v>
      </c>
      <c r="J27" s="6" t="s">
        <v>548</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24</v>
      </c>
      <c r="B28" s="4" t="s">
        <v>1125</v>
      </c>
      <c r="C28" s="4" t="s">
        <v>1100</v>
      </c>
      <c r="D28" s="4" t="s">
        <v>340</v>
      </c>
      <c r="E28" s="4" t="s">
        <v>341</v>
      </c>
      <c r="F28" s="4" t="s">
        <v>695</v>
      </c>
      <c r="G28" s="4" t="s">
        <v>1101</v>
      </c>
      <c r="H28" s="4" t="s">
        <v>1102</v>
      </c>
      <c r="I28" s="4" t="s">
        <v>1103</v>
      </c>
      <c r="J28" s="4" t="s">
        <v>548</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25</v>
      </c>
      <c r="B29" s="6" t="s">
        <v>1126</v>
      </c>
      <c r="C29" s="6" t="s">
        <v>1095</v>
      </c>
      <c r="D29" s="6" t="s">
        <v>345</v>
      </c>
      <c r="E29" s="6" t="s">
        <v>346</v>
      </c>
      <c r="F29" s="6" t="s">
        <v>689</v>
      </c>
      <c r="G29" s="6" t="s">
        <v>1096</v>
      </c>
      <c r="H29" s="6" t="s">
        <v>1097</v>
      </c>
      <c r="I29" s="6" t="s">
        <v>1098</v>
      </c>
      <c r="J29" s="6" t="s">
        <v>548</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26</v>
      </c>
      <c r="B30" s="4" t="s">
        <v>1127</v>
      </c>
      <c r="C30" s="4" t="s">
        <v>1100</v>
      </c>
      <c r="D30" s="4" t="s">
        <v>345</v>
      </c>
      <c r="E30" s="4" t="s">
        <v>346</v>
      </c>
      <c r="F30" s="4" t="s">
        <v>695</v>
      </c>
      <c r="G30" s="4" t="s">
        <v>1101</v>
      </c>
      <c r="H30" s="4" t="s">
        <v>1102</v>
      </c>
      <c r="I30" s="4" t="s">
        <v>1103</v>
      </c>
      <c r="J30" s="4" t="s">
        <v>548</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27</v>
      </c>
      <c r="B31" s="6" t="s">
        <v>1128</v>
      </c>
      <c r="C31" s="6" t="s">
        <v>1095</v>
      </c>
      <c r="D31" s="6" t="s">
        <v>350</v>
      </c>
      <c r="E31" s="6" t="s">
        <v>351</v>
      </c>
      <c r="F31" s="6" t="s">
        <v>689</v>
      </c>
      <c r="G31" s="6" t="s">
        <v>1096</v>
      </c>
      <c r="H31" s="6" t="s">
        <v>1097</v>
      </c>
      <c r="I31" s="6" t="s">
        <v>1098</v>
      </c>
      <c r="J31" s="6" t="s">
        <v>548</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28</v>
      </c>
      <c r="B32" s="4" t="s">
        <v>1129</v>
      </c>
      <c r="C32" s="4" t="s">
        <v>1100</v>
      </c>
      <c r="D32" s="4" t="s">
        <v>350</v>
      </c>
      <c r="E32" s="4" t="s">
        <v>351</v>
      </c>
      <c r="F32" s="4" t="s">
        <v>695</v>
      </c>
      <c r="G32" s="4" t="s">
        <v>1101</v>
      </c>
      <c r="H32" s="4" t="s">
        <v>1102</v>
      </c>
      <c r="I32" s="4" t="s">
        <v>1103</v>
      </c>
      <c r="J32" s="4" t="s">
        <v>548</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29</v>
      </c>
      <c r="B33" s="6" t="s">
        <v>1130</v>
      </c>
      <c r="C33" s="6" t="s">
        <v>1095</v>
      </c>
      <c r="D33" s="6" t="s">
        <v>356</v>
      </c>
      <c r="E33" s="6" t="s">
        <v>357</v>
      </c>
      <c r="F33" s="6" t="s">
        <v>689</v>
      </c>
      <c r="G33" s="6" t="s">
        <v>1096</v>
      </c>
      <c r="H33" s="6" t="s">
        <v>1097</v>
      </c>
      <c r="I33" s="6" t="s">
        <v>1098</v>
      </c>
      <c r="J33" s="6" t="s">
        <v>548</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30</v>
      </c>
      <c r="B34" s="4" t="s">
        <v>1131</v>
      </c>
      <c r="C34" s="4" t="s">
        <v>1100</v>
      </c>
      <c r="D34" s="4" t="s">
        <v>356</v>
      </c>
      <c r="E34" s="4" t="s">
        <v>357</v>
      </c>
      <c r="F34" s="4" t="s">
        <v>695</v>
      </c>
      <c r="G34" s="4" t="s">
        <v>1101</v>
      </c>
      <c r="H34" s="4" t="s">
        <v>1102</v>
      </c>
      <c r="I34" s="4" t="s">
        <v>1103</v>
      </c>
      <c r="J34" s="4" t="s">
        <v>548</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31</v>
      </c>
      <c r="B35" s="6" t="s">
        <v>1132</v>
      </c>
      <c r="C35" s="6" t="s">
        <v>1095</v>
      </c>
      <c r="D35" s="6" t="s">
        <v>361</v>
      </c>
      <c r="E35" s="6" t="s">
        <v>362</v>
      </c>
      <c r="F35" s="6" t="s">
        <v>689</v>
      </c>
      <c r="G35" s="6" t="s">
        <v>1096</v>
      </c>
      <c r="H35" s="6" t="s">
        <v>1097</v>
      </c>
      <c r="I35" s="6" t="s">
        <v>1098</v>
      </c>
      <c r="J35" s="6" t="s">
        <v>548</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32</v>
      </c>
      <c r="B36" s="4" t="s">
        <v>1133</v>
      </c>
      <c r="C36" s="4" t="s">
        <v>1100</v>
      </c>
      <c r="D36" s="4" t="s">
        <v>361</v>
      </c>
      <c r="E36" s="4" t="s">
        <v>362</v>
      </c>
      <c r="F36" s="4" t="s">
        <v>695</v>
      </c>
      <c r="G36" s="4" t="s">
        <v>1101</v>
      </c>
      <c r="H36" s="4" t="s">
        <v>1102</v>
      </c>
      <c r="I36" s="4" t="s">
        <v>1103</v>
      </c>
      <c r="J36" s="4" t="s">
        <v>548</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6">
        <v>33</v>
      </c>
      <c r="B37" s="6" t="s">
        <v>1134</v>
      </c>
      <c r="C37" s="6" t="s">
        <v>1095</v>
      </c>
      <c r="D37" s="6" t="s">
        <v>366</v>
      </c>
      <c r="E37" s="6" t="s">
        <v>367</v>
      </c>
      <c r="F37" s="6" t="s">
        <v>689</v>
      </c>
      <c r="G37" s="6" t="s">
        <v>1096</v>
      </c>
      <c r="H37" s="6" t="s">
        <v>1097</v>
      </c>
      <c r="I37" s="6" t="s">
        <v>1098</v>
      </c>
      <c r="J37" s="6" t="s">
        <v>548</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4">
        <v>34</v>
      </c>
      <c r="B38" s="4" t="s">
        <v>1135</v>
      </c>
      <c r="C38" s="4" t="s">
        <v>1100</v>
      </c>
      <c r="D38" s="4" t="s">
        <v>366</v>
      </c>
      <c r="E38" s="4" t="s">
        <v>367</v>
      </c>
      <c r="F38" s="4" t="s">
        <v>695</v>
      </c>
      <c r="G38" s="4" t="s">
        <v>1101</v>
      </c>
      <c r="H38" s="4" t="s">
        <v>1102</v>
      </c>
      <c r="I38" s="4" t="s">
        <v>1103</v>
      </c>
      <c r="J38" s="4" t="s">
        <v>548</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6">
        <v>35</v>
      </c>
      <c r="B39" s="6" t="s">
        <v>1136</v>
      </c>
      <c r="C39" s="6" t="s">
        <v>1095</v>
      </c>
      <c r="D39" s="6" t="s">
        <v>371</v>
      </c>
      <c r="E39" s="6" t="s">
        <v>372</v>
      </c>
      <c r="F39" s="6" t="s">
        <v>689</v>
      </c>
      <c r="G39" s="6" t="s">
        <v>1096</v>
      </c>
      <c r="H39" s="6" t="s">
        <v>1097</v>
      </c>
      <c r="I39" s="6" t="s">
        <v>1098</v>
      </c>
      <c r="J39" s="6" t="s">
        <v>548</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4">
        <v>36</v>
      </c>
      <c r="B40" s="4" t="s">
        <v>1137</v>
      </c>
      <c r="C40" s="4" t="s">
        <v>1100</v>
      </c>
      <c r="D40" s="4" t="s">
        <v>371</v>
      </c>
      <c r="E40" s="4" t="s">
        <v>372</v>
      </c>
      <c r="F40" s="4" t="s">
        <v>695</v>
      </c>
      <c r="G40" s="4" t="s">
        <v>1101</v>
      </c>
      <c r="H40" s="4" t="s">
        <v>1102</v>
      </c>
      <c r="I40" s="4" t="s">
        <v>1103</v>
      </c>
      <c r="J40" s="4" t="s">
        <v>548</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6">
        <v>37</v>
      </c>
      <c r="B41" s="6" t="s">
        <v>1138</v>
      </c>
      <c r="C41" s="6" t="s">
        <v>1095</v>
      </c>
      <c r="D41" s="6" t="s">
        <v>376</v>
      </c>
      <c r="E41" s="6" t="s">
        <v>377</v>
      </c>
      <c r="F41" s="6" t="s">
        <v>689</v>
      </c>
      <c r="G41" s="6" t="s">
        <v>1096</v>
      </c>
      <c r="H41" s="6" t="s">
        <v>1097</v>
      </c>
      <c r="I41" s="6" t="s">
        <v>1098</v>
      </c>
      <c r="J41" s="6" t="s">
        <v>548</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4">
        <v>38</v>
      </c>
      <c r="B42" s="4" t="s">
        <v>1139</v>
      </c>
      <c r="C42" s="4" t="s">
        <v>1100</v>
      </c>
      <c r="D42" s="4" t="s">
        <v>376</v>
      </c>
      <c r="E42" s="4" t="s">
        <v>377</v>
      </c>
      <c r="F42" s="4" t="s">
        <v>695</v>
      </c>
      <c r="G42" s="4" t="s">
        <v>1101</v>
      </c>
      <c r="H42" s="4" t="s">
        <v>1102</v>
      </c>
      <c r="I42" s="4" t="s">
        <v>1103</v>
      </c>
      <c r="J42" s="4" t="s">
        <v>548</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6">
        <v>39</v>
      </c>
      <c r="B43" s="6" t="s">
        <v>1140</v>
      </c>
      <c r="C43" s="6" t="s">
        <v>1095</v>
      </c>
      <c r="D43" s="6" t="s">
        <v>381</v>
      </c>
      <c r="E43" s="6" t="s">
        <v>382</v>
      </c>
      <c r="F43" s="6" t="s">
        <v>689</v>
      </c>
      <c r="G43" s="6" t="s">
        <v>1096</v>
      </c>
      <c r="H43" s="6" t="s">
        <v>1097</v>
      </c>
      <c r="I43" s="6" t="s">
        <v>1098</v>
      </c>
      <c r="J43" s="6" t="s">
        <v>548</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4">
        <v>40</v>
      </c>
      <c r="B44" s="4" t="s">
        <v>1141</v>
      </c>
      <c r="C44" s="4" t="s">
        <v>1100</v>
      </c>
      <c r="D44" s="4" t="s">
        <v>381</v>
      </c>
      <c r="E44" s="4" t="s">
        <v>382</v>
      </c>
      <c r="F44" s="4" t="s">
        <v>695</v>
      </c>
      <c r="G44" s="4" t="s">
        <v>1101</v>
      </c>
      <c r="H44" s="4" t="s">
        <v>1102</v>
      </c>
      <c r="I44" s="4" t="s">
        <v>1103</v>
      </c>
      <c r="J44" s="4" t="s">
        <v>548</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6">
        <v>41</v>
      </c>
      <c r="B45" s="6" t="s">
        <v>1142</v>
      </c>
      <c r="C45" s="6" t="s">
        <v>1095</v>
      </c>
      <c r="D45" s="6" t="s">
        <v>386</v>
      </c>
      <c r="E45" s="6" t="s">
        <v>387</v>
      </c>
      <c r="F45" s="6" t="s">
        <v>689</v>
      </c>
      <c r="G45" s="6" t="s">
        <v>1096</v>
      </c>
      <c r="H45" s="6" t="s">
        <v>1097</v>
      </c>
      <c r="I45" s="6" t="s">
        <v>1098</v>
      </c>
      <c r="J45" s="6" t="s">
        <v>548</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4">
        <v>42</v>
      </c>
      <c r="B46" s="4" t="s">
        <v>1143</v>
      </c>
      <c r="C46" s="4" t="s">
        <v>1100</v>
      </c>
      <c r="D46" s="4" t="s">
        <v>386</v>
      </c>
      <c r="E46" s="4" t="s">
        <v>387</v>
      </c>
      <c r="F46" s="4" t="s">
        <v>695</v>
      </c>
      <c r="G46" s="4" t="s">
        <v>1101</v>
      </c>
      <c r="H46" s="4" t="s">
        <v>1102</v>
      </c>
      <c r="I46" s="4" t="s">
        <v>1103</v>
      </c>
      <c r="J46" s="4" t="s">
        <v>548</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6">
        <v>43</v>
      </c>
      <c r="B47" s="6" t="s">
        <v>1144</v>
      </c>
      <c r="C47" s="6" t="s">
        <v>1095</v>
      </c>
      <c r="D47" s="6" t="s">
        <v>391</v>
      </c>
      <c r="E47" s="6" t="s">
        <v>392</v>
      </c>
      <c r="F47" s="6" t="s">
        <v>689</v>
      </c>
      <c r="G47" s="6" t="s">
        <v>1096</v>
      </c>
      <c r="H47" s="6" t="s">
        <v>1097</v>
      </c>
      <c r="I47" s="6" t="s">
        <v>1098</v>
      </c>
      <c r="J47" s="6" t="s">
        <v>548</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4">
        <v>44</v>
      </c>
      <c r="B48" s="4" t="s">
        <v>1145</v>
      </c>
      <c r="C48" s="4" t="s">
        <v>1100</v>
      </c>
      <c r="D48" s="4" t="s">
        <v>391</v>
      </c>
      <c r="E48" s="4" t="s">
        <v>392</v>
      </c>
      <c r="F48" s="4" t="s">
        <v>695</v>
      </c>
      <c r="G48" s="4" t="s">
        <v>1101</v>
      </c>
      <c r="H48" s="4" t="s">
        <v>1102</v>
      </c>
      <c r="I48" s="4" t="s">
        <v>1103</v>
      </c>
      <c r="J48" s="4" t="s">
        <v>548</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6">
        <v>45</v>
      </c>
      <c r="B49" s="6" t="s">
        <v>1146</v>
      </c>
      <c r="C49" s="6" t="s">
        <v>1095</v>
      </c>
      <c r="D49" s="6" t="s">
        <v>397</v>
      </c>
      <c r="E49" s="6" t="s">
        <v>398</v>
      </c>
      <c r="F49" s="6" t="s">
        <v>689</v>
      </c>
      <c r="G49" s="6" t="s">
        <v>1096</v>
      </c>
      <c r="H49" s="6" t="s">
        <v>1097</v>
      </c>
      <c r="I49" s="6" t="s">
        <v>1098</v>
      </c>
      <c r="J49" s="6" t="s">
        <v>548</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4">
        <v>46</v>
      </c>
      <c r="B50" s="4" t="s">
        <v>1147</v>
      </c>
      <c r="C50" s="4" t="s">
        <v>1100</v>
      </c>
      <c r="D50" s="4" t="s">
        <v>397</v>
      </c>
      <c r="E50" s="4" t="s">
        <v>398</v>
      </c>
      <c r="F50" s="4" t="s">
        <v>695</v>
      </c>
      <c r="G50" s="4" t="s">
        <v>1101</v>
      </c>
      <c r="H50" s="4" t="s">
        <v>1102</v>
      </c>
      <c r="I50" s="4" t="s">
        <v>1103</v>
      </c>
      <c r="J50" s="4" t="s">
        <v>548</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6">
        <v>47</v>
      </c>
      <c r="B51" s="6" t="s">
        <v>1148</v>
      </c>
      <c r="C51" s="6" t="s">
        <v>1095</v>
      </c>
      <c r="D51" s="6" t="s">
        <v>402</v>
      </c>
      <c r="E51" s="6" t="s">
        <v>403</v>
      </c>
      <c r="F51" s="6" t="s">
        <v>689</v>
      </c>
      <c r="G51" s="6" t="s">
        <v>1096</v>
      </c>
      <c r="H51" s="6" t="s">
        <v>1097</v>
      </c>
      <c r="I51" s="6" t="s">
        <v>1098</v>
      </c>
      <c r="J51" s="6" t="s">
        <v>548</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4">
        <v>48</v>
      </c>
      <c r="B52" s="4" t="s">
        <v>1149</v>
      </c>
      <c r="C52" s="4" t="s">
        <v>1100</v>
      </c>
      <c r="D52" s="4" t="s">
        <v>402</v>
      </c>
      <c r="E52" s="4" t="s">
        <v>403</v>
      </c>
      <c r="F52" s="4" t="s">
        <v>695</v>
      </c>
      <c r="G52" s="4" t="s">
        <v>1101</v>
      </c>
      <c r="H52" s="4" t="s">
        <v>1102</v>
      </c>
      <c r="I52" s="4" t="s">
        <v>1103</v>
      </c>
      <c r="J52" s="4" t="s">
        <v>548</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6">
        <v>49</v>
      </c>
      <c r="B53" s="6" t="s">
        <v>1150</v>
      </c>
      <c r="C53" s="6" t="s">
        <v>1095</v>
      </c>
      <c r="D53" s="6" t="s">
        <v>407</v>
      </c>
      <c r="E53" s="6" t="s">
        <v>408</v>
      </c>
      <c r="F53" s="6" t="s">
        <v>689</v>
      </c>
      <c r="G53" s="6" t="s">
        <v>1096</v>
      </c>
      <c r="H53" s="6" t="s">
        <v>1097</v>
      </c>
      <c r="I53" s="6" t="s">
        <v>1098</v>
      </c>
      <c r="J53" s="6" t="s">
        <v>548</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4">
        <v>50</v>
      </c>
      <c r="B54" s="4" t="s">
        <v>1151</v>
      </c>
      <c r="C54" s="4" t="s">
        <v>1100</v>
      </c>
      <c r="D54" s="4" t="s">
        <v>407</v>
      </c>
      <c r="E54" s="4" t="s">
        <v>408</v>
      </c>
      <c r="F54" s="4" t="s">
        <v>695</v>
      </c>
      <c r="G54" s="4" t="s">
        <v>1101</v>
      </c>
      <c r="H54" s="4" t="s">
        <v>1102</v>
      </c>
      <c r="I54" s="4" t="s">
        <v>1103</v>
      </c>
      <c r="J54" s="4" t="s">
        <v>548</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6">
        <v>51</v>
      </c>
      <c r="B55" s="6" t="s">
        <v>1152</v>
      </c>
      <c r="C55" s="6" t="s">
        <v>1095</v>
      </c>
      <c r="D55" s="6" t="s">
        <v>412</v>
      </c>
      <c r="E55" s="6" t="s">
        <v>413</v>
      </c>
      <c r="F55" s="6" t="s">
        <v>689</v>
      </c>
      <c r="G55" s="6" t="s">
        <v>1096</v>
      </c>
      <c r="H55" s="6" t="s">
        <v>1097</v>
      </c>
      <c r="I55" s="6" t="s">
        <v>1098</v>
      </c>
      <c r="J55" s="6" t="s">
        <v>548</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4">
        <v>52</v>
      </c>
      <c r="B56" s="4" t="s">
        <v>1153</v>
      </c>
      <c r="C56" s="4" t="s">
        <v>1100</v>
      </c>
      <c r="D56" s="4" t="s">
        <v>412</v>
      </c>
      <c r="E56" s="4" t="s">
        <v>413</v>
      </c>
      <c r="F56" s="4" t="s">
        <v>695</v>
      </c>
      <c r="G56" s="4" t="s">
        <v>1101</v>
      </c>
      <c r="H56" s="4" t="s">
        <v>1102</v>
      </c>
      <c r="I56" s="4" t="s">
        <v>1103</v>
      </c>
      <c r="J56" s="4" t="s">
        <v>548</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6">
        <v>53</v>
      </c>
      <c r="B57" s="6" t="s">
        <v>1154</v>
      </c>
      <c r="C57" s="6" t="s">
        <v>1095</v>
      </c>
      <c r="D57" s="6" t="s">
        <v>418</v>
      </c>
      <c r="E57" s="6" t="s">
        <v>419</v>
      </c>
      <c r="F57" s="6" t="s">
        <v>689</v>
      </c>
      <c r="G57" s="6" t="s">
        <v>1096</v>
      </c>
      <c r="H57" s="6" t="s">
        <v>1097</v>
      </c>
      <c r="I57" s="6" t="s">
        <v>1098</v>
      </c>
      <c r="J57" s="6" t="s">
        <v>548</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4">
        <v>54</v>
      </c>
      <c r="B58" s="4" t="s">
        <v>1155</v>
      </c>
      <c r="C58" s="4" t="s">
        <v>1100</v>
      </c>
      <c r="D58" s="4" t="s">
        <v>418</v>
      </c>
      <c r="E58" s="4" t="s">
        <v>419</v>
      </c>
      <c r="F58" s="4" t="s">
        <v>695</v>
      </c>
      <c r="G58" s="4" t="s">
        <v>1101</v>
      </c>
      <c r="H58" s="4" t="s">
        <v>1102</v>
      </c>
      <c r="I58" s="4" t="s">
        <v>1103</v>
      </c>
      <c r="J58" s="4" t="s">
        <v>548</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6">
        <v>55</v>
      </c>
      <c r="B59" s="6" t="s">
        <v>1156</v>
      </c>
      <c r="C59" s="6" t="s">
        <v>1095</v>
      </c>
      <c r="D59" s="6" t="s">
        <v>423</v>
      </c>
      <c r="E59" s="6" t="s">
        <v>424</v>
      </c>
      <c r="F59" s="6" t="s">
        <v>689</v>
      </c>
      <c r="G59" s="6" t="s">
        <v>1096</v>
      </c>
      <c r="H59" s="6" t="s">
        <v>1097</v>
      </c>
      <c r="I59" s="6" t="s">
        <v>1098</v>
      </c>
      <c r="J59" s="6" t="s">
        <v>548</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4">
        <v>56</v>
      </c>
      <c r="B60" s="4" t="s">
        <v>1157</v>
      </c>
      <c r="C60" s="4" t="s">
        <v>1100</v>
      </c>
      <c r="D60" s="4" t="s">
        <v>423</v>
      </c>
      <c r="E60" s="4" t="s">
        <v>424</v>
      </c>
      <c r="F60" s="4" t="s">
        <v>695</v>
      </c>
      <c r="G60" s="4" t="s">
        <v>1101</v>
      </c>
      <c r="H60" s="4" t="s">
        <v>1102</v>
      </c>
      <c r="I60" s="4" t="s">
        <v>1103</v>
      </c>
      <c r="J60" s="4" t="s">
        <v>548</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6">
        <v>57</v>
      </c>
      <c r="B61" s="6" t="s">
        <v>1158</v>
      </c>
      <c r="C61" s="6" t="s">
        <v>1095</v>
      </c>
      <c r="D61" s="6" t="s">
        <v>428</v>
      </c>
      <c r="E61" s="6" t="s">
        <v>429</v>
      </c>
      <c r="F61" s="6" t="s">
        <v>689</v>
      </c>
      <c r="G61" s="6" t="s">
        <v>1096</v>
      </c>
      <c r="H61" s="6" t="s">
        <v>1097</v>
      </c>
      <c r="I61" s="6" t="s">
        <v>1098</v>
      </c>
      <c r="J61" s="6" t="s">
        <v>548</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4">
        <v>58</v>
      </c>
      <c r="B62" s="4" t="s">
        <v>1159</v>
      </c>
      <c r="C62" s="4" t="s">
        <v>1100</v>
      </c>
      <c r="D62" s="4" t="s">
        <v>428</v>
      </c>
      <c r="E62" s="4" t="s">
        <v>429</v>
      </c>
      <c r="F62" s="4" t="s">
        <v>695</v>
      </c>
      <c r="G62" s="4" t="s">
        <v>1101</v>
      </c>
      <c r="H62" s="4" t="s">
        <v>1102</v>
      </c>
      <c r="I62" s="4" t="s">
        <v>1103</v>
      </c>
      <c r="J62" s="4" t="s">
        <v>548</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6">
        <v>59</v>
      </c>
      <c r="B63" s="6" t="s">
        <v>1160</v>
      </c>
      <c r="C63" s="6" t="s">
        <v>1095</v>
      </c>
      <c r="D63" s="6" t="s">
        <v>433</v>
      </c>
      <c r="E63" s="6" t="s">
        <v>434</v>
      </c>
      <c r="F63" s="6" t="s">
        <v>689</v>
      </c>
      <c r="G63" s="6" t="s">
        <v>1096</v>
      </c>
      <c r="H63" s="6" t="s">
        <v>1097</v>
      </c>
      <c r="I63" s="6" t="s">
        <v>1098</v>
      </c>
      <c r="J63" s="6" t="s">
        <v>548</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4">
        <v>60</v>
      </c>
      <c r="B64" s="4" t="s">
        <v>1161</v>
      </c>
      <c r="C64" s="4" t="s">
        <v>1100</v>
      </c>
      <c r="D64" s="4" t="s">
        <v>433</v>
      </c>
      <c r="E64" s="4" t="s">
        <v>434</v>
      </c>
      <c r="F64" s="4" t="s">
        <v>695</v>
      </c>
      <c r="G64" s="4" t="s">
        <v>1101</v>
      </c>
      <c r="H64" s="4" t="s">
        <v>1102</v>
      </c>
      <c r="I64" s="4" t="s">
        <v>1103</v>
      </c>
      <c r="J64" s="4" t="s">
        <v>548</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6">
        <v>61</v>
      </c>
      <c r="B65" s="6" t="s">
        <v>1162</v>
      </c>
      <c r="C65" s="6" t="s">
        <v>1095</v>
      </c>
      <c r="D65" s="6" t="s">
        <v>439</v>
      </c>
      <c r="E65" s="6" t="s">
        <v>440</v>
      </c>
      <c r="F65" s="6" t="s">
        <v>689</v>
      </c>
      <c r="G65" s="6" t="s">
        <v>1096</v>
      </c>
      <c r="H65" s="6" t="s">
        <v>1097</v>
      </c>
      <c r="I65" s="6" t="s">
        <v>1098</v>
      </c>
      <c r="J65" s="6" t="s">
        <v>548</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4">
        <v>62</v>
      </c>
      <c r="B66" s="4" t="s">
        <v>1163</v>
      </c>
      <c r="C66" s="4" t="s">
        <v>1100</v>
      </c>
      <c r="D66" s="4" t="s">
        <v>439</v>
      </c>
      <c r="E66" s="4" t="s">
        <v>440</v>
      </c>
      <c r="F66" s="4" t="s">
        <v>695</v>
      </c>
      <c r="G66" s="4" t="s">
        <v>1101</v>
      </c>
      <c r="H66" s="4" t="s">
        <v>1102</v>
      </c>
      <c r="I66" s="4" t="s">
        <v>1103</v>
      </c>
      <c r="J66" s="4" t="s">
        <v>548</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6">
        <v>63</v>
      </c>
      <c r="B67" s="6" t="s">
        <v>1164</v>
      </c>
      <c r="C67" s="6" t="s">
        <v>1095</v>
      </c>
      <c r="D67" s="6" t="s">
        <v>444</v>
      </c>
      <c r="E67" s="6" t="s">
        <v>445</v>
      </c>
      <c r="F67" s="6" t="s">
        <v>689</v>
      </c>
      <c r="G67" s="6" t="s">
        <v>1096</v>
      </c>
      <c r="H67" s="6" t="s">
        <v>1097</v>
      </c>
      <c r="I67" s="6" t="s">
        <v>1098</v>
      </c>
      <c r="J67" s="6" t="s">
        <v>548</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4">
        <v>64</v>
      </c>
      <c r="B68" s="4" t="s">
        <v>1165</v>
      </c>
      <c r="C68" s="4" t="s">
        <v>1100</v>
      </c>
      <c r="D68" s="4" t="s">
        <v>444</v>
      </c>
      <c r="E68" s="4" t="s">
        <v>445</v>
      </c>
      <c r="F68" s="4" t="s">
        <v>695</v>
      </c>
      <c r="G68" s="4" t="s">
        <v>1101</v>
      </c>
      <c r="H68" s="4" t="s">
        <v>1102</v>
      </c>
      <c r="I68" s="4" t="s">
        <v>1103</v>
      </c>
      <c r="J68" s="4" t="s">
        <v>548</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6">
        <v>65</v>
      </c>
      <c r="B69" s="6" t="s">
        <v>1166</v>
      </c>
      <c r="C69" s="6" t="s">
        <v>1095</v>
      </c>
      <c r="D69" s="6" t="s">
        <v>449</v>
      </c>
      <c r="E69" s="6" t="s">
        <v>450</v>
      </c>
      <c r="F69" s="6" t="s">
        <v>689</v>
      </c>
      <c r="G69" s="6" t="s">
        <v>1096</v>
      </c>
      <c r="H69" s="6" t="s">
        <v>1097</v>
      </c>
      <c r="I69" s="6" t="s">
        <v>1098</v>
      </c>
      <c r="J69" s="6" t="s">
        <v>548</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4">
        <v>66</v>
      </c>
      <c r="B70" s="4" t="s">
        <v>1167</v>
      </c>
      <c r="C70" s="4" t="s">
        <v>1100</v>
      </c>
      <c r="D70" s="4" t="s">
        <v>449</v>
      </c>
      <c r="E70" s="4" t="s">
        <v>450</v>
      </c>
      <c r="F70" s="4" t="s">
        <v>695</v>
      </c>
      <c r="G70" s="4" t="s">
        <v>1101</v>
      </c>
      <c r="H70" s="4" t="s">
        <v>1102</v>
      </c>
      <c r="I70" s="4" t="s">
        <v>1103</v>
      </c>
      <c r="J70" s="4" t="s">
        <v>548</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6">
        <v>67</v>
      </c>
      <c r="B71" s="6" t="s">
        <v>1168</v>
      </c>
      <c r="C71" s="6" t="s">
        <v>1095</v>
      </c>
      <c r="D71" s="6" t="s">
        <v>455</v>
      </c>
      <c r="E71" s="6" t="s">
        <v>456</v>
      </c>
      <c r="F71" s="6" t="s">
        <v>689</v>
      </c>
      <c r="G71" s="6" t="s">
        <v>1096</v>
      </c>
      <c r="H71" s="6" t="s">
        <v>1097</v>
      </c>
      <c r="I71" s="6" t="s">
        <v>1098</v>
      </c>
      <c r="J71" s="6" t="s">
        <v>548</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4">
        <v>68</v>
      </c>
      <c r="B72" s="4" t="s">
        <v>1169</v>
      </c>
      <c r="C72" s="4" t="s">
        <v>1100</v>
      </c>
      <c r="D72" s="4" t="s">
        <v>455</v>
      </c>
      <c r="E72" s="4" t="s">
        <v>456</v>
      </c>
      <c r="F72" s="4" t="s">
        <v>695</v>
      </c>
      <c r="G72" s="4" t="s">
        <v>1101</v>
      </c>
      <c r="H72" s="4" t="s">
        <v>1102</v>
      </c>
      <c r="I72" s="4" t="s">
        <v>1103</v>
      </c>
      <c r="J72" s="4" t="s">
        <v>548</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6">
        <v>69</v>
      </c>
      <c r="B73" s="6" t="s">
        <v>1170</v>
      </c>
      <c r="C73" s="6" t="s">
        <v>1095</v>
      </c>
      <c r="D73" s="6" t="s">
        <v>460</v>
      </c>
      <c r="E73" s="6" t="s">
        <v>461</v>
      </c>
      <c r="F73" s="6" t="s">
        <v>689</v>
      </c>
      <c r="G73" s="6" t="s">
        <v>1096</v>
      </c>
      <c r="H73" s="6" t="s">
        <v>1097</v>
      </c>
      <c r="I73" s="6" t="s">
        <v>1098</v>
      </c>
      <c r="J73" s="6" t="s">
        <v>548</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4">
        <v>70</v>
      </c>
      <c r="B74" s="4" t="s">
        <v>1171</v>
      </c>
      <c r="C74" s="4" t="s">
        <v>1100</v>
      </c>
      <c r="D74" s="4" t="s">
        <v>460</v>
      </c>
      <c r="E74" s="4" t="s">
        <v>461</v>
      </c>
      <c r="F74" s="4" t="s">
        <v>695</v>
      </c>
      <c r="G74" s="4" t="s">
        <v>1101</v>
      </c>
      <c r="H74" s="4" t="s">
        <v>1102</v>
      </c>
      <c r="I74" s="4" t="s">
        <v>1103</v>
      </c>
      <c r="J74" s="4" t="s">
        <v>548</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6">
        <v>71</v>
      </c>
      <c r="B75" s="6" t="s">
        <v>1172</v>
      </c>
      <c r="C75" s="6" t="s">
        <v>1095</v>
      </c>
      <c r="D75" s="6" t="s">
        <v>466</v>
      </c>
      <c r="E75" s="6" t="s">
        <v>467</v>
      </c>
      <c r="F75" s="6" t="s">
        <v>689</v>
      </c>
      <c r="G75" s="6" t="s">
        <v>1096</v>
      </c>
      <c r="H75" s="6" t="s">
        <v>1097</v>
      </c>
      <c r="I75" s="6" t="s">
        <v>1098</v>
      </c>
      <c r="J75" s="6" t="s">
        <v>548</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4">
        <v>72</v>
      </c>
      <c r="B76" s="4" t="s">
        <v>1173</v>
      </c>
      <c r="C76" s="4" t="s">
        <v>1100</v>
      </c>
      <c r="D76" s="4" t="s">
        <v>466</v>
      </c>
      <c r="E76" s="4" t="s">
        <v>467</v>
      </c>
      <c r="F76" s="4" t="s">
        <v>695</v>
      </c>
      <c r="G76" s="4" t="s">
        <v>1101</v>
      </c>
      <c r="H76" s="4" t="s">
        <v>1102</v>
      </c>
      <c r="I76" s="4" t="s">
        <v>1103</v>
      </c>
      <c r="J76" s="4" t="s">
        <v>548</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6">
        <v>73</v>
      </c>
      <c r="B77" s="6" t="s">
        <v>1174</v>
      </c>
      <c r="C77" s="6" t="s">
        <v>1095</v>
      </c>
      <c r="D77" s="6" t="s">
        <v>471</v>
      </c>
      <c r="E77" s="6" t="s">
        <v>472</v>
      </c>
      <c r="F77" s="6" t="s">
        <v>689</v>
      </c>
      <c r="G77" s="6" t="s">
        <v>1096</v>
      </c>
      <c r="H77" s="6" t="s">
        <v>1097</v>
      </c>
      <c r="I77" s="6" t="s">
        <v>1098</v>
      </c>
      <c r="J77" s="6" t="s">
        <v>548</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4">
        <v>74</v>
      </c>
      <c r="B78" s="4" t="s">
        <v>1175</v>
      </c>
      <c r="C78" s="4" t="s">
        <v>1100</v>
      </c>
      <c r="D78" s="4" t="s">
        <v>471</v>
      </c>
      <c r="E78" s="4" t="s">
        <v>472</v>
      </c>
      <c r="F78" s="4" t="s">
        <v>695</v>
      </c>
      <c r="G78" s="4" t="s">
        <v>1101</v>
      </c>
      <c r="H78" s="4" t="s">
        <v>1102</v>
      </c>
      <c r="I78" s="4" t="s">
        <v>1103</v>
      </c>
      <c r="J78" s="4" t="s">
        <v>548</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6">
        <v>75</v>
      </c>
      <c r="B79" s="6" t="s">
        <v>1176</v>
      </c>
      <c r="C79" s="6" t="s">
        <v>1095</v>
      </c>
      <c r="D79" s="6" t="s">
        <v>477</v>
      </c>
      <c r="E79" s="6" t="s">
        <v>478</v>
      </c>
      <c r="F79" s="6" t="s">
        <v>689</v>
      </c>
      <c r="G79" s="6" t="s">
        <v>1096</v>
      </c>
      <c r="H79" s="6" t="s">
        <v>1097</v>
      </c>
      <c r="I79" s="6" t="s">
        <v>1098</v>
      </c>
      <c r="J79" s="6" t="s">
        <v>548</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4">
        <v>76</v>
      </c>
      <c r="B80" s="4" t="s">
        <v>1177</v>
      </c>
      <c r="C80" s="4" t="s">
        <v>1100</v>
      </c>
      <c r="D80" s="4" t="s">
        <v>477</v>
      </c>
      <c r="E80" s="4" t="s">
        <v>478</v>
      </c>
      <c r="F80" s="4" t="s">
        <v>695</v>
      </c>
      <c r="G80" s="4" t="s">
        <v>1101</v>
      </c>
      <c r="H80" s="4" t="s">
        <v>1102</v>
      </c>
      <c r="I80" s="4" t="s">
        <v>1103</v>
      </c>
      <c r="J80" s="4" t="s">
        <v>548</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6">
        <v>77</v>
      </c>
      <c r="B81" s="6" t="s">
        <v>1178</v>
      </c>
      <c r="C81" s="6" t="s">
        <v>1095</v>
      </c>
      <c r="D81" s="6" t="s">
        <v>482</v>
      </c>
      <c r="E81" s="6" t="s">
        <v>483</v>
      </c>
      <c r="F81" s="6" t="s">
        <v>689</v>
      </c>
      <c r="G81" s="6" t="s">
        <v>1096</v>
      </c>
      <c r="H81" s="6" t="s">
        <v>1097</v>
      </c>
      <c r="I81" s="6" t="s">
        <v>1098</v>
      </c>
      <c r="J81" s="6" t="s">
        <v>548</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4">
        <v>78</v>
      </c>
      <c r="B82" s="4" t="s">
        <v>1179</v>
      </c>
      <c r="C82" s="4" t="s">
        <v>1100</v>
      </c>
      <c r="D82" s="4" t="s">
        <v>482</v>
      </c>
      <c r="E82" s="4" t="s">
        <v>483</v>
      </c>
      <c r="F82" s="4" t="s">
        <v>695</v>
      </c>
      <c r="G82" s="4" t="s">
        <v>1101</v>
      </c>
      <c r="H82" s="4" t="s">
        <v>1102</v>
      </c>
      <c r="I82" s="4" t="s">
        <v>1103</v>
      </c>
      <c r="J82" s="4" t="s">
        <v>548</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6">
        <v>79</v>
      </c>
      <c r="B83" s="6" t="s">
        <v>1180</v>
      </c>
      <c r="C83" s="6" t="s">
        <v>1095</v>
      </c>
      <c r="D83" s="6" t="s">
        <v>487</v>
      </c>
      <c r="E83" s="6" t="s">
        <v>488</v>
      </c>
      <c r="F83" s="6" t="s">
        <v>689</v>
      </c>
      <c r="G83" s="6" t="s">
        <v>1096</v>
      </c>
      <c r="H83" s="6" t="s">
        <v>1097</v>
      </c>
      <c r="I83" s="6" t="s">
        <v>1098</v>
      </c>
      <c r="J83" s="6" t="s">
        <v>548</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4">
        <v>80</v>
      </c>
      <c r="B84" s="4" t="s">
        <v>1181</v>
      </c>
      <c r="C84" s="4" t="s">
        <v>1100</v>
      </c>
      <c r="D84" s="4" t="s">
        <v>487</v>
      </c>
      <c r="E84" s="4" t="s">
        <v>488</v>
      </c>
      <c r="F84" s="4" t="s">
        <v>695</v>
      </c>
      <c r="G84" s="4" t="s">
        <v>1101</v>
      </c>
      <c r="H84" s="4" t="s">
        <v>1102</v>
      </c>
      <c r="I84" s="4" t="s">
        <v>1103</v>
      </c>
      <c r="J84" s="4" t="s">
        <v>548</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6">
        <v>81</v>
      </c>
      <c r="B85" s="6" t="s">
        <v>1182</v>
      </c>
      <c r="C85" s="6" t="s">
        <v>1095</v>
      </c>
      <c r="D85" s="6" t="s">
        <v>492</v>
      </c>
      <c r="E85" s="6" t="s">
        <v>493</v>
      </c>
      <c r="F85" s="6" t="s">
        <v>689</v>
      </c>
      <c r="G85" s="6" t="s">
        <v>1096</v>
      </c>
      <c r="H85" s="6" t="s">
        <v>1097</v>
      </c>
      <c r="I85" s="6" t="s">
        <v>1098</v>
      </c>
      <c r="J85" s="6" t="s">
        <v>548</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4">
        <v>82</v>
      </c>
      <c r="B86" s="4" t="s">
        <v>1183</v>
      </c>
      <c r="C86" s="4" t="s">
        <v>1100</v>
      </c>
      <c r="D86" s="4" t="s">
        <v>492</v>
      </c>
      <c r="E86" s="4" t="s">
        <v>493</v>
      </c>
      <c r="F86" s="4" t="s">
        <v>695</v>
      </c>
      <c r="G86" s="4" t="s">
        <v>1101</v>
      </c>
      <c r="H86" s="4" t="s">
        <v>1102</v>
      </c>
      <c r="I86" s="4" t="s">
        <v>1103</v>
      </c>
      <c r="J86" s="4" t="s">
        <v>548</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6">
        <v>83</v>
      </c>
      <c r="B87" s="6" t="s">
        <v>1184</v>
      </c>
      <c r="C87" s="6" t="s">
        <v>1095</v>
      </c>
      <c r="D87" s="6" t="s">
        <v>497</v>
      </c>
      <c r="E87" s="6" t="s">
        <v>498</v>
      </c>
      <c r="F87" s="6" t="s">
        <v>689</v>
      </c>
      <c r="G87" s="6" t="s">
        <v>1096</v>
      </c>
      <c r="H87" s="6" t="s">
        <v>1097</v>
      </c>
      <c r="I87" s="6" t="s">
        <v>1098</v>
      </c>
      <c r="J87" s="6" t="s">
        <v>548</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4">
        <v>84</v>
      </c>
      <c r="B88" s="4" t="s">
        <v>1185</v>
      </c>
      <c r="C88" s="4" t="s">
        <v>1100</v>
      </c>
      <c r="D88" s="4" t="s">
        <v>497</v>
      </c>
      <c r="E88" s="4" t="s">
        <v>498</v>
      </c>
      <c r="F88" s="4" t="s">
        <v>695</v>
      </c>
      <c r="G88" s="4" t="s">
        <v>1101</v>
      </c>
      <c r="H88" s="4" t="s">
        <v>1102</v>
      </c>
      <c r="I88" s="4" t="s">
        <v>1103</v>
      </c>
      <c r="J88" s="4" t="s">
        <v>548</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6">
        <v>85</v>
      </c>
      <c r="B89" s="6" t="s">
        <v>1186</v>
      </c>
      <c r="C89" s="6" t="s">
        <v>1095</v>
      </c>
      <c r="D89" s="6" t="s">
        <v>502</v>
      </c>
      <c r="E89" s="6" t="s">
        <v>503</v>
      </c>
      <c r="F89" s="6" t="s">
        <v>689</v>
      </c>
      <c r="G89" s="6" t="s">
        <v>1096</v>
      </c>
      <c r="H89" s="6" t="s">
        <v>1097</v>
      </c>
      <c r="I89" s="6" t="s">
        <v>1098</v>
      </c>
      <c r="J89" s="6" t="s">
        <v>548</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4">
        <v>86</v>
      </c>
      <c r="B90" s="4" t="s">
        <v>1187</v>
      </c>
      <c r="C90" s="4" t="s">
        <v>1100</v>
      </c>
      <c r="D90" s="4" t="s">
        <v>502</v>
      </c>
      <c r="E90" s="4" t="s">
        <v>503</v>
      </c>
      <c r="F90" s="4" t="s">
        <v>695</v>
      </c>
      <c r="G90" s="4" t="s">
        <v>1101</v>
      </c>
      <c r="H90" s="4" t="s">
        <v>1102</v>
      </c>
      <c r="I90" s="4" t="s">
        <v>1103</v>
      </c>
      <c r="J90" s="4" t="s">
        <v>548</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6">
        <v>87</v>
      </c>
      <c r="B91" s="6" t="s">
        <v>1188</v>
      </c>
      <c r="C91" s="6" t="s">
        <v>1095</v>
      </c>
      <c r="D91" s="6" t="s">
        <v>507</v>
      </c>
      <c r="E91" s="6" t="s">
        <v>508</v>
      </c>
      <c r="F91" s="6" t="s">
        <v>689</v>
      </c>
      <c r="G91" s="6" t="s">
        <v>1096</v>
      </c>
      <c r="H91" s="6" t="s">
        <v>1097</v>
      </c>
      <c r="I91" s="6" t="s">
        <v>1098</v>
      </c>
      <c r="J91" s="6" t="s">
        <v>548</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4">
        <v>88</v>
      </c>
      <c r="B92" s="4" t="s">
        <v>1189</v>
      </c>
      <c r="C92" s="4" t="s">
        <v>1100</v>
      </c>
      <c r="D92" s="4" t="s">
        <v>507</v>
      </c>
      <c r="E92" s="4" t="s">
        <v>508</v>
      </c>
      <c r="F92" s="4" t="s">
        <v>695</v>
      </c>
      <c r="G92" s="4" t="s">
        <v>1101</v>
      </c>
      <c r="H92" s="4" t="s">
        <v>1102</v>
      </c>
      <c r="I92" s="4" t="s">
        <v>1103</v>
      </c>
      <c r="J92" s="4" t="s">
        <v>548</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6">
        <v>89</v>
      </c>
      <c r="B93" s="6" t="s">
        <v>1190</v>
      </c>
      <c r="C93" s="6" t="s">
        <v>1095</v>
      </c>
      <c r="D93" s="6" t="s">
        <v>512</v>
      </c>
      <c r="E93" s="6" t="s">
        <v>513</v>
      </c>
      <c r="F93" s="6" t="s">
        <v>689</v>
      </c>
      <c r="G93" s="6" t="s">
        <v>1096</v>
      </c>
      <c r="H93" s="6" t="s">
        <v>1097</v>
      </c>
      <c r="I93" s="6" t="s">
        <v>1098</v>
      </c>
      <c r="J93" s="6" t="s">
        <v>548</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4">
        <v>90</v>
      </c>
      <c r="B94" s="4" t="s">
        <v>1191</v>
      </c>
      <c r="C94" s="4" t="s">
        <v>1100</v>
      </c>
      <c r="D94" s="4" t="s">
        <v>512</v>
      </c>
      <c r="E94" s="4" t="s">
        <v>513</v>
      </c>
      <c r="F94" s="4" t="s">
        <v>695</v>
      </c>
      <c r="G94" s="4" t="s">
        <v>1101</v>
      </c>
      <c r="H94" s="4" t="s">
        <v>1102</v>
      </c>
      <c r="I94" s="4" t="s">
        <v>1103</v>
      </c>
      <c r="J94" s="4" t="s">
        <v>548</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6">
        <v>91</v>
      </c>
      <c r="B95" s="6" t="s">
        <v>1192</v>
      </c>
      <c r="C95" s="6" t="s">
        <v>1095</v>
      </c>
      <c r="D95" s="6" t="s">
        <v>517</v>
      </c>
      <c r="E95" s="6" t="s">
        <v>518</v>
      </c>
      <c r="F95" s="6" t="s">
        <v>689</v>
      </c>
      <c r="G95" s="6" t="s">
        <v>1096</v>
      </c>
      <c r="H95" s="6" t="s">
        <v>1097</v>
      </c>
      <c r="I95" s="6" t="s">
        <v>1098</v>
      </c>
      <c r="J95" s="6" t="s">
        <v>548</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4">
        <v>92</v>
      </c>
      <c r="B96" s="4" t="s">
        <v>1193</v>
      </c>
      <c r="C96" s="4" t="s">
        <v>1100</v>
      </c>
      <c r="D96" s="4" t="s">
        <v>517</v>
      </c>
      <c r="E96" s="4" t="s">
        <v>518</v>
      </c>
      <c r="F96" s="4" t="s">
        <v>695</v>
      </c>
      <c r="G96" s="4" t="s">
        <v>1101</v>
      </c>
      <c r="H96" s="4" t="s">
        <v>1102</v>
      </c>
      <c r="I96" s="4" t="s">
        <v>1103</v>
      </c>
      <c r="J96" s="4" t="s">
        <v>548</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6">
        <v>93</v>
      </c>
      <c r="B97" s="6" t="s">
        <v>1194</v>
      </c>
      <c r="C97" s="6" t="s">
        <v>1095</v>
      </c>
      <c r="D97" s="6" t="s">
        <v>522</v>
      </c>
      <c r="E97" s="6" t="s">
        <v>523</v>
      </c>
      <c r="F97" s="6" t="s">
        <v>689</v>
      </c>
      <c r="G97" s="6" t="s">
        <v>1096</v>
      </c>
      <c r="H97" s="6" t="s">
        <v>1097</v>
      </c>
      <c r="I97" s="6" t="s">
        <v>1098</v>
      </c>
      <c r="J97" s="6" t="s">
        <v>548</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4">
        <v>94</v>
      </c>
      <c r="B98" s="4" t="s">
        <v>1195</v>
      </c>
      <c r="C98" s="4" t="s">
        <v>1100</v>
      </c>
      <c r="D98" s="4" t="s">
        <v>522</v>
      </c>
      <c r="E98" s="4" t="s">
        <v>523</v>
      </c>
      <c r="F98" s="4" t="s">
        <v>695</v>
      </c>
      <c r="G98" s="4" t="s">
        <v>1101</v>
      </c>
      <c r="H98" s="4" t="s">
        <v>1102</v>
      </c>
      <c r="I98" s="4" t="s">
        <v>1103</v>
      </c>
      <c r="J98" s="4" t="s">
        <v>548</v>
      </c>
      <c r="K98" s="4"/>
      <c r="L98" s="4"/>
      <c r="M98" s="4"/>
      <c r="N98" s="4"/>
      <c r="O98" s="4"/>
      <c r="P98" s="4"/>
      <c r="Q98" s="4"/>
      <c r="R98" s="4"/>
      <c r="S98" s="4"/>
      <c r="T98" s="4"/>
      <c r="U98" s="4"/>
      <c r="V98" s="4"/>
      <c r="W98" s="4"/>
      <c r="X98" s="4"/>
      <c r="Y98" s="4"/>
      <c r="Z98" s="4"/>
      <c r="AA98" s="4"/>
      <c r="AB98" s="4"/>
      <c r="AC98" s="4"/>
      <c r="AD98" s="4"/>
      <c r="AE98" s="4"/>
      <c r="AF98" s="4"/>
      <c r="AG98" s="4"/>
      <c r="AH98" s="4"/>
      <c r="AI98" s="4"/>
    </row>
  </sheetData>
  <hyperlinks>
    <hyperlink ref="A1" r:id="rId1" location="#'P-00 INDEX'!A1"/>
    <hyperlink ref="B1" r:id="rId2" location="#'P-Releases'!A1"/>
  </hyperlink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1"/>
  <sheetViews>
    <sheetView workbookViewId="0"/>
  </sheetViews>
  <sheetFormatPr defaultRowHeight="15" outlineLevelRow="0" outlineLevelCol="0" x14ac:dyDescent="55"/>
  <cols>
    <col min="1" max="1" width="62" customWidth="1"/>
    <col min="2" max="2" width="28" customWidth="1"/>
    <col min="3" max="3" width="31" customWidth="1"/>
    <col min="4" max="4" width="15" customWidth="1"/>
    <col min="5" max="6" width="63" customWidth="1"/>
    <col min="7" max="7" width="55" customWidth="1"/>
    <col min="8" max="8" width="59" customWidth="1"/>
    <col min="9" max="9" width="63" customWidth="1"/>
    <col min="10" max="10" width="15" customWidth="1"/>
    <col min="11" max="11" width="30" customWidth="1"/>
    <col min="12" max="12" width="63" customWidth="1"/>
    <col min="13" max="13" width="46" customWidth="1"/>
    <col min="14" max="14" width="15" customWidth="1"/>
    <col min="15" max="15" width="24" customWidth="1"/>
    <col min="16" max="35" width="15" customWidth="1"/>
  </cols>
  <sheetData>
    <row r="1" ht="24" customHeight="1" spans="1:35" x14ac:dyDescent="0.25">
      <c r="A1" s="8" t="s">
        <v>117</v>
      </c>
      <c r="B1" s="8" t="s">
        <v>1196</v>
      </c>
    </row>
    <row r="2" spans="1:35" x14ac:dyDescent="0.25">
      <c r="A2" s="1" t="s">
        <v>1197</v>
      </c>
    </row>
    <row r="4" ht="26" customHeight="1" spans="1:35" s="11" customFormat="1" x14ac:dyDescent="0.25">
      <c r="A4" s="11" t="s">
        <v>2</v>
      </c>
      <c r="B4" s="11" t="s">
        <v>1198</v>
      </c>
      <c r="C4" s="11" t="s">
        <v>254</v>
      </c>
      <c r="D4" s="11" t="s">
        <v>528</v>
      </c>
      <c r="E4" s="11" t="s">
        <v>1199</v>
      </c>
      <c r="F4" s="11" t="s">
        <v>1200</v>
      </c>
      <c r="G4" s="11" t="s">
        <v>257</v>
      </c>
      <c r="H4" s="11" t="s">
        <v>258</v>
      </c>
      <c r="I4" s="11" t="s">
        <v>1201</v>
      </c>
      <c r="J4" s="11" t="s">
        <v>260</v>
      </c>
      <c r="K4" s="11" t="s">
        <v>539</v>
      </c>
      <c r="L4" s="11" t="s">
        <v>540</v>
      </c>
      <c r="M4" s="11" t="s">
        <v>537</v>
      </c>
      <c r="N4" s="11" t="s">
        <v>1202</v>
      </c>
      <c r="O4" s="11" t="s">
        <v>1203</v>
      </c>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1204</v>
      </c>
      <c r="C5" s="4" t="s">
        <v>274</v>
      </c>
      <c r="D5" s="4" t="s">
        <v>619</v>
      </c>
      <c r="E5" s="4" t="s">
        <v>1205</v>
      </c>
      <c r="F5" s="4" t="s">
        <v>1206</v>
      </c>
      <c r="G5" s="5" t="s">
        <v>277</v>
      </c>
      <c r="H5" s="5" t="s">
        <v>278</v>
      </c>
      <c r="I5" s="4" t="s">
        <v>1207</v>
      </c>
      <c r="J5" s="12" t="s">
        <v>282</v>
      </c>
      <c r="K5" s="4" t="s">
        <v>1208</v>
      </c>
      <c r="L5" s="4" t="s">
        <v>1209</v>
      </c>
      <c r="M5" s="5" t="s">
        <v>1210</v>
      </c>
      <c r="N5" s="4" t="s">
        <v>285</v>
      </c>
      <c r="O5" s="4" t="s">
        <v>1211</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1212</v>
      </c>
      <c r="C6" s="6" t="s">
        <v>289</v>
      </c>
      <c r="D6" s="6" t="s">
        <v>619</v>
      </c>
      <c r="E6" s="6" t="s">
        <v>1213</v>
      </c>
      <c r="F6" s="6" t="s">
        <v>1214</v>
      </c>
      <c r="G6" s="7" t="s">
        <v>291</v>
      </c>
      <c r="H6" s="7" t="s">
        <v>292</v>
      </c>
      <c r="I6" s="6" t="s">
        <v>1207</v>
      </c>
      <c r="J6" s="13" t="s">
        <v>282</v>
      </c>
      <c r="K6" s="6" t="s">
        <v>1208</v>
      </c>
      <c r="L6" s="6" t="s">
        <v>1209</v>
      </c>
      <c r="M6" s="7" t="s">
        <v>1210</v>
      </c>
      <c r="N6" s="6" t="s">
        <v>285</v>
      </c>
      <c r="O6" s="6" t="s">
        <v>1211</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1215</v>
      </c>
      <c r="C7" s="4" t="s">
        <v>294</v>
      </c>
      <c r="D7" s="4" t="s">
        <v>619</v>
      </c>
      <c r="E7" s="4" t="s">
        <v>1216</v>
      </c>
      <c r="F7" s="4" t="s">
        <v>1217</v>
      </c>
      <c r="G7" s="5" t="s">
        <v>296</v>
      </c>
      <c r="H7" s="5" t="s">
        <v>297</v>
      </c>
      <c r="I7" s="4" t="s">
        <v>1207</v>
      </c>
      <c r="J7" s="12" t="s">
        <v>282</v>
      </c>
      <c r="K7" s="4" t="s">
        <v>1208</v>
      </c>
      <c r="L7" s="4" t="s">
        <v>1209</v>
      </c>
      <c r="M7" s="5" t="s">
        <v>1210</v>
      </c>
      <c r="N7" s="4" t="s">
        <v>285</v>
      </c>
      <c r="O7" s="4" t="s">
        <v>1211</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1218</v>
      </c>
      <c r="C8" s="6" t="s">
        <v>299</v>
      </c>
      <c r="D8" s="6" t="s">
        <v>619</v>
      </c>
      <c r="E8" s="6" t="s">
        <v>1219</v>
      </c>
      <c r="F8" s="6" t="s">
        <v>1220</v>
      </c>
      <c r="G8" s="7" t="s">
        <v>301</v>
      </c>
      <c r="H8" s="7" t="s">
        <v>302</v>
      </c>
      <c r="I8" s="6" t="s">
        <v>1207</v>
      </c>
      <c r="J8" s="13" t="s">
        <v>282</v>
      </c>
      <c r="K8" s="6" t="s">
        <v>1208</v>
      </c>
      <c r="L8" s="6" t="s">
        <v>1209</v>
      </c>
      <c r="M8" s="7" t="s">
        <v>1210</v>
      </c>
      <c r="N8" s="6" t="s">
        <v>285</v>
      </c>
      <c r="O8" s="6" t="s">
        <v>1211</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588</v>
      </c>
      <c r="C9" s="4" t="s">
        <v>304</v>
      </c>
      <c r="D9" s="4" t="s">
        <v>619</v>
      </c>
      <c r="E9" s="4" t="s">
        <v>1221</v>
      </c>
      <c r="F9" s="4" t="s">
        <v>1222</v>
      </c>
      <c r="G9" s="5" t="s">
        <v>306</v>
      </c>
      <c r="H9" s="5" t="s">
        <v>307</v>
      </c>
      <c r="I9" s="4" t="s">
        <v>1207</v>
      </c>
      <c r="J9" s="12" t="s">
        <v>282</v>
      </c>
      <c r="K9" s="4" t="s">
        <v>1208</v>
      </c>
      <c r="L9" s="4" t="s">
        <v>1209</v>
      </c>
      <c r="M9" s="5" t="s">
        <v>1210</v>
      </c>
      <c r="N9" s="4" t="s">
        <v>285</v>
      </c>
      <c r="O9" s="4" t="s">
        <v>1211</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1223</v>
      </c>
      <c r="C10" s="6" t="s">
        <v>309</v>
      </c>
      <c r="D10" s="6" t="s">
        <v>619</v>
      </c>
      <c r="E10" s="6" t="s">
        <v>1224</v>
      </c>
      <c r="F10" s="6" t="s">
        <v>1225</v>
      </c>
      <c r="G10" s="7" t="s">
        <v>311</v>
      </c>
      <c r="H10" s="7" t="s">
        <v>312</v>
      </c>
      <c r="I10" s="6" t="s">
        <v>1207</v>
      </c>
      <c r="J10" s="13" t="s">
        <v>282</v>
      </c>
      <c r="K10" s="6" t="s">
        <v>1208</v>
      </c>
      <c r="L10" s="6" t="s">
        <v>1209</v>
      </c>
      <c r="M10" s="7" t="s">
        <v>1210</v>
      </c>
      <c r="N10" s="6" t="s">
        <v>285</v>
      </c>
      <c r="O10" s="6" t="s">
        <v>1211</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1226</v>
      </c>
      <c r="C11" s="4" t="s">
        <v>314</v>
      </c>
      <c r="D11" s="4" t="s">
        <v>619</v>
      </c>
      <c r="E11" s="4" t="s">
        <v>1227</v>
      </c>
      <c r="F11" s="4" t="s">
        <v>1228</v>
      </c>
      <c r="G11" s="5" t="s">
        <v>316</v>
      </c>
      <c r="H11" s="5" t="s">
        <v>317</v>
      </c>
      <c r="I11" s="4" t="s">
        <v>1207</v>
      </c>
      <c r="J11" s="12" t="s">
        <v>282</v>
      </c>
      <c r="K11" s="4" t="s">
        <v>1208</v>
      </c>
      <c r="L11" s="4" t="s">
        <v>1209</v>
      </c>
      <c r="M11" s="5" t="s">
        <v>1210</v>
      </c>
      <c r="N11" s="4" t="s">
        <v>285</v>
      </c>
      <c r="O11" s="4" t="s">
        <v>1211</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1229</v>
      </c>
      <c r="C12" s="6" t="s">
        <v>319</v>
      </c>
      <c r="D12" s="6" t="s">
        <v>619</v>
      </c>
      <c r="E12" s="6" t="s">
        <v>1230</v>
      </c>
      <c r="F12" s="6" t="s">
        <v>1231</v>
      </c>
      <c r="G12" s="7" t="s">
        <v>322</v>
      </c>
      <c r="H12" s="7" t="s">
        <v>323</v>
      </c>
      <c r="I12" s="6" t="s">
        <v>1207</v>
      </c>
      <c r="J12" s="13" t="s">
        <v>282</v>
      </c>
      <c r="K12" s="6" t="s">
        <v>1208</v>
      </c>
      <c r="L12" s="6" t="s">
        <v>1209</v>
      </c>
      <c r="M12" s="7" t="s">
        <v>1210</v>
      </c>
      <c r="N12" s="6" t="s">
        <v>285</v>
      </c>
      <c r="O12" s="6" t="s">
        <v>1211</v>
      </c>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1232</v>
      </c>
      <c r="C13" s="4" t="s">
        <v>325</v>
      </c>
      <c r="D13" s="4" t="s">
        <v>619</v>
      </c>
      <c r="E13" s="4" t="s">
        <v>1233</v>
      </c>
      <c r="F13" s="4" t="s">
        <v>1234</v>
      </c>
      <c r="G13" s="5" t="s">
        <v>327</v>
      </c>
      <c r="H13" s="5" t="s">
        <v>328</v>
      </c>
      <c r="I13" s="4" t="s">
        <v>1207</v>
      </c>
      <c r="J13" s="12" t="s">
        <v>282</v>
      </c>
      <c r="K13" s="4" t="s">
        <v>1208</v>
      </c>
      <c r="L13" s="4" t="s">
        <v>1209</v>
      </c>
      <c r="M13" s="5" t="s">
        <v>1210</v>
      </c>
      <c r="N13" s="4" t="s">
        <v>285</v>
      </c>
      <c r="O13" s="4" t="s">
        <v>1211</v>
      </c>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596</v>
      </c>
      <c r="C14" s="6" t="s">
        <v>330</v>
      </c>
      <c r="D14" s="6" t="s">
        <v>619</v>
      </c>
      <c r="E14" s="6" t="s">
        <v>1235</v>
      </c>
      <c r="F14" s="6" t="s">
        <v>1236</v>
      </c>
      <c r="G14" s="7" t="s">
        <v>332</v>
      </c>
      <c r="H14" s="7" t="s">
        <v>333</v>
      </c>
      <c r="I14" s="6" t="s">
        <v>1207</v>
      </c>
      <c r="J14" s="13" t="s">
        <v>282</v>
      </c>
      <c r="K14" s="6" t="s">
        <v>1208</v>
      </c>
      <c r="L14" s="6" t="s">
        <v>1209</v>
      </c>
      <c r="M14" s="7" t="s">
        <v>1210</v>
      </c>
      <c r="N14" s="6" t="s">
        <v>285</v>
      </c>
      <c r="O14" s="6" t="s">
        <v>1211</v>
      </c>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1237</v>
      </c>
      <c r="C15" s="4" t="s">
        <v>335</v>
      </c>
      <c r="D15" s="4" t="s">
        <v>619</v>
      </c>
      <c r="E15" s="4" t="s">
        <v>1238</v>
      </c>
      <c r="F15" s="4" t="s">
        <v>1239</v>
      </c>
      <c r="G15" s="5" t="s">
        <v>337</v>
      </c>
      <c r="H15" s="5" t="s">
        <v>338</v>
      </c>
      <c r="I15" s="4" t="s">
        <v>1207</v>
      </c>
      <c r="J15" s="12" t="s">
        <v>282</v>
      </c>
      <c r="K15" s="4" t="s">
        <v>1208</v>
      </c>
      <c r="L15" s="4" t="s">
        <v>1209</v>
      </c>
      <c r="M15" s="5" t="s">
        <v>1210</v>
      </c>
      <c r="N15" s="4" t="s">
        <v>285</v>
      </c>
      <c r="O15" s="4" t="s">
        <v>1211</v>
      </c>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1240</v>
      </c>
      <c r="C16" s="6" t="s">
        <v>340</v>
      </c>
      <c r="D16" s="6" t="s">
        <v>619</v>
      </c>
      <c r="E16" s="6" t="s">
        <v>1241</v>
      </c>
      <c r="F16" s="6" t="s">
        <v>1242</v>
      </c>
      <c r="G16" s="7" t="s">
        <v>342</v>
      </c>
      <c r="H16" s="7" t="s">
        <v>343</v>
      </c>
      <c r="I16" s="6" t="s">
        <v>1207</v>
      </c>
      <c r="J16" s="13" t="s">
        <v>282</v>
      </c>
      <c r="K16" s="6" t="s">
        <v>1208</v>
      </c>
      <c r="L16" s="6" t="s">
        <v>1209</v>
      </c>
      <c r="M16" s="7" t="s">
        <v>1210</v>
      </c>
      <c r="N16" s="6" t="s">
        <v>285</v>
      </c>
      <c r="O16" s="6" t="s">
        <v>1211</v>
      </c>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1243</v>
      </c>
      <c r="C17" s="4" t="s">
        <v>345</v>
      </c>
      <c r="D17" s="4" t="s">
        <v>619</v>
      </c>
      <c r="E17" s="4" t="s">
        <v>1244</v>
      </c>
      <c r="F17" s="4" t="s">
        <v>1245</v>
      </c>
      <c r="G17" s="5" t="s">
        <v>347</v>
      </c>
      <c r="H17" s="5" t="s">
        <v>348</v>
      </c>
      <c r="I17" s="4" t="s">
        <v>1207</v>
      </c>
      <c r="J17" s="12" t="s">
        <v>282</v>
      </c>
      <c r="K17" s="4" t="s">
        <v>1208</v>
      </c>
      <c r="L17" s="4" t="s">
        <v>1209</v>
      </c>
      <c r="M17" s="5" t="s">
        <v>1210</v>
      </c>
      <c r="N17" s="4" t="s">
        <v>285</v>
      </c>
      <c r="O17" s="4" t="s">
        <v>1211</v>
      </c>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1246</v>
      </c>
      <c r="C18" s="6" t="s">
        <v>350</v>
      </c>
      <c r="D18" s="6" t="s">
        <v>619</v>
      </c>
      <c r="E18" s="6" t="s">
        <v>1247</v>
      </c>
      <c r="F18" s="6" t="s">
        <v>1248</v>
      </c>
      <c r="G18" s="7" t="s">
        <v>353</v>
      </c>
      <c r="H18" s="7" t="s">
        <v>354</v>
      </c>
      <c r="I18" s="6" t="s">
        <v>1207</v>
      </c>
      <c r="J18" s="13" t="s">
        <v>282</v>
      </c>
      <c r="K18" s="6" t="s">
        <v>1208</v>
      </c>
      <c r="L18" s="6" t="s">
        <v>1209</v>
      </c>
      <c r="M18" s="7" t="s">
        <v>1210</v>
      </c>
      <c r="N18" s="6" t="s">
        <v>285</v>
      </c>
      <c r="O18" s="6" t="s">
        <v>1211</v>
      </c>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1249</v>
      </c>
      <c r="C19" s="4" t="s">
        <v>356</v>
      </c>
      <c r="D19" s="4" t="s">
        <v>619</v>
      </c>
      <c r="E19" s="4" t="s">
        <v>1250</v>
      </c>
      <c r="F19" s="4" t="s">
        <v>1251</v>
      </c>
      <c r="G19" s="5" t="s">
        <v>358</v>
      </c>
      <c r="H19" s="5" t="s">
        <v>359</v>
      </c>
      <c r="I19" s="4" t="s">
        <v>1207</v>
      </c>
      <c r="J19" s="12" t="s">
        <v>282</v>
      </c>
      <c r="K19" s="4" t="s">
        <v>1208</v>
      </c>
      <c r="L19" s="4" t="s">
        <v>1209</v>
      </c>
      <c r="M19" s="5" t="s">
        <v>1210</v>
      </c>
      <c r="N19" s="4" t="s">
        <v>285</v>
      </c>
      <c r="O19" s="4" t="s">
        <v>1211</v>
      </c>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1252</v>
      </c>
      <c r="C20" s="6" t="s">
        <v>361</v>
      </c>
      <c r="D20" s="6" t="s">
        <v>619</v>
      </c>
      <c r="E20" s="6" t="s">
        <v>1253</v>
      </c>
      <c r="F20" s="6" t="s">
        <v>1254</v>
      </c>
      <c r="G20" s="7" t="s">
        <v>363</v>
      </c>
      <c r="H20" s="7" t="s">
        <v>364</v>
      </c>
      <c r="I20" s="6" t="s">
        <v>1207</v>
      </c>
      <c r="J20" s="13" t="s">
        <v>282</v>
      </c>
      <c r="K20" s="6" t="s">
        <v>1208</v>
      </c>
      <c r="L20" s="6" t="s">
        <v>1209</v>
      </c>
      <c r="M20" s="7" t="s">
        <v>1210</v>
      </c>
      <c r="N20" s="6" t="s">
        <v>285</v>
      </c>
      <c r="O20" s="6" t="s">
        <v>1211</v>
      </c>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1255</v>
      </c>
      <c r="C21" s="4" t="s">
        <v>366</v>
      </c>
      <c r="D21" s="4" t="s">
        <v>619</v>
      </c>
      <c r="E21" s="4" t="s">
        <v>1256</v>
      </c>
      <c r="F21" s="4" t="s">
        <v>1257</v>
      </c>
      <c r="G21" s="5" t="s">
        <v>368</v>
      </c>
      <c r="H21" s="5" t="s">
        <v>369</v>
      </c>
      <c r="I21" s="4" t="s">
        <v>1207</v>
      </c>
      <c r="J21" s="12" t="s">
        <v>282</v>
      </c>
      <c r="K21" s="4" t="s">
        <v>1208</v>
      </c>
      <c r="L21" s="4" t="s">
        <v>1209</v>
      </c>
      <c r="M21" s="5" t="s">
        <v>1210</v>
      </c>
      <c r="N21" s="4" t="s">
        <v>285</v>
      </c>
      <c r="O21" s="4" t="s">
        <v>1211</v>
      </c>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1258</v>
      </c>
      <c r="C22" s="6" t="s">
        <v>371</v>
      </c>
      <c r="D22" s="6" t="s">
        <v>619</v>
      </c>
      <c r="E22" s="6" t="s">
        <v>1259</v>
      </c>
      <c r="F22" s="6" t="s">
        <v>1260</v>
      </c>
      <c r="G22" s="7" t="s">
        <v>373</v>
      </c>
      <c r="H22" s="7" t="s">
        <v>374</v>
      </c>
      <c r="I22" s="6" t="s">
        <v>1207</v>
      </c>
      <c r="J22" s="13" t="s">
        <v>282</v>
      </c>
      <c r="K22" s="6" t="s">
        <v>1208</v>
      </c>
      <c r="L22" s="6" t="s">
        <v>1209</v>
      </c>
      <c r="M22" s="7" t="s">
        <v>1210</v>
      </c>
      <c r="N22" s="6" t="s">
        <v>285</v>
      </c>
      <c r="O22" s="6" t="s">
        <v>1211</v>
      </c>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1261</v>
      </c>
      <c r="C23" s="4" t="s">
        <v>376</v>
      </c>
      <c r="D23" s="4" t="s">
        <v>619</v>
      </c>
      <c r="E23" s="4" t="s">
        <v>1262</v>
      </c>
      <c r="F23" s="4" t="s">
        <v>1263</v>
      </c>
      <c r="G23" s="5" t="s">
        <v>378</v>
      </c>
      <c r="H23" s="5" t="s">
        <v>379</v>
      </c>
      <c r="I23" s="4" t="s">
        <v>1207</v>
      </c>
      <c r="J23" s="12" t="s">
        <v>282</v>
      </c>
      <c r="K23" s="4" t="s">
        <v>1208</v>
      </c>
      <c r="L23" s="4" t="s">
        <v>1209</v>
      </c>
      <c r="M23" s="5" t="s">
        <v>1210</v>
      </c>
      <c r="N23" s="4" t="s">
        <v>285</v>
      </c>
      <c r="O23" s="4" t="s">
        <v>1211</v>
      </c>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1264</v>
      </c>
      <c r="C24" s="6" t="s">
        <v>381</v>
      </c>
      <c r="D24" s="6" t="s">
        <v>619</v>
      </c>
      <c r="E24" s="6" t="s">
        <v>1265</v>
      </c>
      <c r="F24" s="6" t="s">
        <v>1266</v>
      </c>
      <c r="G24" s="7" t="s">
        <v>383</v>
      </c>
      <c r="H24" s="7" t="s">
        <v>384</v>
      </c>
      <c r="I24" s="6" t="s">
        <v>1207</v>
      </c>
      <c r="J24" s="13" t="s">
        <v>282</v>
      </c>
      <c r="K24" s="6" t="s">
        <v>1208</v>
      </c>
      <c r="L24" s="6" t="s">
        <v>1209</v>
      </c>
      <c r="M24" s="7" t="s">
        <v>1210</v>
      </c>
      <c r="N24" s="6" t="s">
        <v>285</v>
      </c>
      <c r="O24" s="6" t="s">
        <v>1211</v>
      </c>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1267</v>
      </c>
      <c r="C25" s="4" t="s">
        <v>386</v>
      </c>
      <c r="D25" s="4" t="s">
        <v>619</v>
      </c>
      <c r="E25" s="4" t="s">
        <v>1268</v>
      </c>
      <c r="F25" s="4" t="s">
        <v>1269</v>
      </c>
      <c r="G25" s="5" t="s">
        <v>388</v>
      </c>
      <c r="H25" s="5" t="s">
        <v>389</v>
      </c>
      <c r="I25" s="4" t="s">
        <v>1207</v>
      </c>
      <c r="J25" s="12" t="s">
        <v>282</v>
      </c>
      <c r="K25" s="4" t="s">
        <v>1208</v>
      </c>
      <c r="L25" s="4" t="s">
        <v>1209</v>
      </c>
      <c r="M25" s="5" t="s">
        <v>1210</v>
      </c>
      <c r="N25" s="4" t="s">
        <v>285</v>
      </c>
      <c r="O25" s="4" t="s">
        <v>1211</v>
      </c>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1270</v>
      </c>
      <c r="C26" s="6" t="s">
        <v>391</v>
      </c>
      <c r="D26" s="6" t="s">
        <v>619</v>
      </c>
      <c r="E26" s="6" t="s">
        <v>1271</v>
      </c>
      <c r="F26" s="6" t="s">
        <v>1272</v>
      </c>
      <c r="G26" s="7" t="s">
        <v>394</v>
      </c>
      <c r="H26" s="7" t="s">
        <v>395</v>
      </c>
      <c r="I26" s="6" t="s">
        <v>1207</v>
      </c>
      <c r="J26" s="13" t="s">
        <v>282</v>
      </c>
      <c r="K26" s="6" t="s">
        <v>1208</v>
      </c>
      <c r="L26" s="6" t="s">
        <v>1209</v>
      </c>
      <c r="M26" s="7" t="s">
        <v>1210</v>
      </c>
      <c r="N26" s="6" t="s">
        <v>285</v>
      </c>
      <c r="O26" s="6" t="s">
        <v>1211</v>
      </c>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1273</v>
      </c>
      <c r="C27" s="4" t="s">
        <v>397</v>
      </c>
      <c r="D27" s="4" t="s">
        <v>619</v>
      </c>
      <c r="E27" s="4" t="s">
        <v>1274</v>
      </c>
      <c r="F27" s="4" t="s">
        <v>1275</v>
      </c>
      <c r="G27" s="5" t="s">
        <v>399</v>
      </c>
      <c r="H27" s="5" t="s">
        <v>400</v>
      </c>
      <c r="I27" s="4" t="s">
        <v>1207</v>
      </c>
      <c r="J27" s="12" t="s">
        <v>282</v>
      </c>
      <c r="K27" s="4" t="s">
        <v>1208</v>
      </c>
      <c r="L27" s="4" t="s">
        <v>1209</v>
      </c>
      <c r="M27" s="5" t="s">
        <v>1210</v>
      </c>
      <c r="N27" s="4" t="s">
        <v>285</v>
      </c>
      <c r="O27" s="4" t="s">
        <v>1211</v>
      </c>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1276</v>
      </c>
      <c r="C28" s="6" t="s">
        <v>402</v>
      </c>
      <c r="D28" s="6" t="s">
        <v>619</v>
      </c>
      <c r="E28" s="6" t="s">
        <v>1277</v>
      </c>
      <c r="F28" s="6" t="s">
        <v>1278</v>
      </c>
      <c r="G28" s="7" t="s">
        <v>404</v>
      </c>
      <c r="H28" s="7" t="s">
        <v>405</v>
      </c>
      <c r="I28" s="6" t="s">
        <v>1207</v>
      </c>
      <c r="J28" s="13" t="s">
        <v>282</v>
      </c>
      <c r="K28" s="6" t="s">
        <v>1208</v>
      </c>
      <c r="L28" s="6" t="s">
        <v>1209</v>
      </c>
      <c r="M28" s="7" t="s">
        <v>1210</v>
      </c>
      <c r="N28" s="6" t="s">
        <v>285</v>
      </c>
      <c r="O28" s="6" t="s">
        <v>1211</v>
      </c>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1279</v>
      </c>
      <c r="C29" s="4" t="s">
        <v>407</v>
      </c>
      <c r="D29" s="4" t="s">
        <v>619</v>
      </c>
      <c r="E29" s="4" t="s">
        <v>1280</v>
      </c>
      <c r="F29" s="4" t="s">
        <v>1281</v>
      </c>
      <c r="G29" s="5" t="s">
        <v>409</v>
      </c>
      <c r="H29" s="5" t="s">
        <v>410</v>
      </c>
      <c r="I29" s="4" t="s">
        <v>1207</v>
      </c>
      <c r="J29" s="12" t="s">
        <v>282</v>
      </c>
      <c r="K29" s="4" t="s">
        <v>1208</v>
      </c>
      <c r="L29" s="4" t="s">
        <v>1209</v>
      </c>
      <c r="M29" s="5" t="s">
        <v>1210</v>
      </c>
      <c r="N29" s="4" t="s">
        <v>285</v>
      </c>
      <c r="O29" s="4" t="s">
        <v>1211</v>
      </c>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1282</v>
      </c>
      <c r="C30" s="6" t="s">
        <v>412</v>
      </c>
      <c r="D30" s="6" t="s">
        <v>619</v>
      </c>
      <c r="E30" s="6" t="s">
        <v>1283</v>
      </c>
      <c r="F30" s="6" t="s">
        <v>1284</v>
      </c>
      <c r="G30" s="7" t="s">
        <v>415</v>
      </c>
      <c r="H30" s="7" t="s">
        <v>416</v>
      </c>
      <c r="I30" s="6" t="s">
        <v>1207</v>
      </c>
      <c r="J30" s="13" t="s">
        <v>282</v>
      </c>
      <c r="K30" s="6" t="s">
        <v>1208</v>
      </c>
      <c r="L30" s="6" t="s">
        <v>1209</v>
      </c>
      <c r="M30" s="7" t="s">
        <v>1210</v>
      </c>
      <c r="N30" s="6" t="s">
        <v>285</v>
      </c>
      <c r="O30" s="6" t="s">
        <v>1211</v>
      </c>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1285</v>
      </c>
      <c r="C31" s="4" t="s">
        <v>418</v>
      </c>
      <c r="D31" s="4" t="s">
        <v>619</v>
      </c>
      <c r="E31" s="4" t="s">
        <v>1286</v>
      </c>
      <c r="F31" s="4" t="s">
        <v>1287</v>
      </c>
      <c r="G31" s="5" t="s">
        <v>420</v>
      </c>
      <c r="H31" s="5" t="s">
        <v>421</v>
      </c>
      <c r="I31" s="4" t="s">
        <v>1207</v>
      </c>
      <c r="J31" s="12" t="s">
        <v>282</v>
      </c>
      <c r="K31" s="4" t="s">
        <v>1208</v>
      </c>
      <c r="L31" s="4" t="s">
        <v>1209</v>
      </c>
      <c r="M31" s="5" t="s">
        <v>1210</v>
      </c>
      <c r="N31" s="4" t="s">
        <v>285</v>
      </c>
      <c r="O31" s="4" t="s">
        <v>1211</v>
      </c>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1288</v>
      </c>
      <c r="C32" s="6" t="s">
        <v>423</v>
      </c>
      <c r="D32" s="6" t="s">
        <v>619</v>
      </c>
      <c r="E32" s="6" t="s">
        <v>1289</v>
      </c>
      <c r="F32" s="6" t="s">
        <v>1290</v>
      </c>
      <c r="G32" s="7" t="s">
        <v>425</v>
      </c>
      <c r="H32" s="7" t="s">
        <v>426</v>
      </c>
      <c r="I32" s="6" t="s">
        <v>1207</v>
      </c>
      <c r="J32" s="13" t="s">
        <v>282</v>
      </c>
      <c r="K32" s="6" t="s">
        <v>1208</v>
      </c>
      <c r="L32" s="6" t="s">
        <v>1209</v>
      </c>
      <c r="M32" s="7" t="s">
        <v>1210</v>
      </c>
      <c r="N32" s="6" t="s">
        <v>285</v>
      </c>
      <c r="O32" s="6" t="s">
        <v>1211</v>
      </c>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1291</v>
      </c>
      <c r="C33" s="4" t="s">
        <v>428</v>
      </c>
      <c r="D33" s="4" t="s">
        <v>619</v>
      </c>
      <c r="E33" s="4" t="s">
        <v>1292</v>
      </c>
      <c r="F33" s="4" t="s">
        <v>1293</v>
      </c>
      <c r="G33" s="5" t="s">
        <v>430</v>
      </c>
      <c r="H33" s="5" t="s">
        <v>431</v>
      </c>
      <c r="I33" s="4" t="s">
        <v>1207</v>
      </c>
      <c r="J33" s="12" t="s">
        <v>282</v>
      </c>
      <c r="K33" s="4" t="s">
        <v>1208</v>
      </c>
      <c r="L33" s="4" t="s">
        <v>1209</v>
      </c>
      <c r="M33" s="5" t="s">
        <v>1210</v>
      </c>
      <c r="N33" s="4" t="s">
        <v>285</v>
      </c>
      <c r="O33" s="4" t="s">
        <v>1211</v>
      </c>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1294</v>
      </c>
      <c r="C34" s="6" t="s">
        <v>433</v>
      </c>
      <c r="D34" s="6" t="s">
        <v>619</v>
      </c>
      <c r="E34" s="6" t="s">
        <v>1295</v>
      </c>
      <c r="F34" s="6" t="s">
        <v>1296</v>
      </c>
      <c r="G34" s="7" t="s">
        <v>436</v>
      </c>
      <c r="H34" s="7" t="s">
        <v>437</v>
      </c>
      <c r="I34" s="6" t="s">
        <v>1207</v>
      </c>
      <c r="J34" s="13" t="s">
        <v>282</v>
      </c>
      <c r="K34" s="6" t="s">
        <v>1208</v>
      </c>
      <c r="L34" s="6" t="s">
        <v>1209</v>
      </c>
      <c r="M34" s="7" t="s">
        <v>1210</v>
      </c>
      <c r="N34" s="6" t="s">
        <v>285</v>
      </c>
      <c r="O34" s="6" t="s">
        <v>1211</v>
      </c>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1297</v>
      </c>
      <c r="C35" s="4" t="s">
        <v>439</v>
      </c>
      <c r="D35" s="4" t="s">
        <v>619</v>
      </c>
      <c r="E35" s="4" t="s">
        <v>1298</v>
      </c>
      <c r="F35" s="4" t="s">
        <v>1299</v>
      </c>
      <c r="G35" s="5" t="s">
        <v>441</v>
      </c>
      <c r="H35" s="5" t="s">
        <v>442</v>
      </c>
      <c r="I35" s="4" t="s">
        <v>1207</v>
      </c>
      <c r="J35" s="12" t="s">
        <v>282</v>
      </c>
      <c r="K35" s="4" t="s">
        <v>1208</v>
      </c>
      <c r="L35" s="4" t="s">
        <v>1209</v>
      </c>
      <c r="M35" s="5" t="s">
        <v>1210</v>
      </c>
      <c r="N35" s="4" t="s">
        <v>285</v>
      </c>
      <c r="O35" s="4" t="s">
        <v>1211</v>
      </c>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1300</v>
      </c>
      <c r="C36" s="6" t="s">
        <v>444</v>
      </c>
      <c r="D36" s="6" t="s">
        <v>619</v>
      </c>
      <c r="E36" s="6" t="s">
        <v>1301</v>
      </c>
      <c r="F36" s="6" t="s">
        <v>1302</v>
      </c>
      <c r="G36" s="7" t="s">
        <v>446</v>
      </c>
      <c r="H36" s="7" t="s">
        <v>447</v>
      </c>
      <c r="I36" s="6" t="s">
        <v>1207</v>
      </c>
      <c r="J36" s="13" t="s">
        <v>282</v>
      </c>
      <c r="K36" s="6" t="s">
        <v>1208</v>
      </c>
      <c r="L36" s="6" t="s">
        <v>1209</v>
      </c>
      <c r="M36" s="7" t="s">
        <v>1210</v>
      </c>
      <c r="N36" s="6" t="s">
        <v>285</v>
      </c>
      <c r="O36" s="6" t="s">
        <v>1211</v>
      </c>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1303</v>
      </c>
      <c r="C37" s="4" t="s">
        <v>449</v>
      </c>
      <c r="D37" s="4" t="s">
        <v>619</v>
      </c>
      <c r="E37" s="4" t="s">
        <v>1304</v>
      </c>
      <c r="F37" s="4" t="s">
        <v>1305</v>
      </c>
      <c r="G37" s="5" t="s">
        <v>452</v>
      </c>
      <c r="H37" s="5" t="s">
        <v>453</v>
      </c>
      <c r="I37" s="4" t="s">
        <v>1207</v>
      </c>
      <c r="J37" s="12" t="s">
        <v>282</v>
      </c>
      <c r="K37" s="4" t="s">
        <v>1208</v>
      </c>
      <c r="L37" s="4" t="s">
        <v>1209</v>
      </c>
      <c r="M37" s="5" t="s">
        <v>1210</v>
      </c>
      <c r="N37" s="4" t="s">
        <v>285</v>
      </c>
      <c r="O37" s="4" t="s">
        <v>1211</v>
      </c>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1306</v>
      </c>
      <c r="C38" s="6" t="s">
        <v>455</v>
      </c>
      <c r="D38" s="6" t="s">
        <v>619</v>
      </c>
      <c r="E38" s="6" t="s">
        <v>1307</v>
      </c>
      <c r="F38" s="6" t="s">
        <v>1308</v>
      </c>
      <c r="G38" s="7" t="s">
        <v>457</v>
      </c>
      <c r="H38" s="7" t="s">
        <v>458</v>
      </c>
      <c r="I38" s="6" t="s">
        <v>1207</v>
      </c>
      <c r="J38" s="13" t="s">
        <v>282</v>
      </c>
      <c r="K38" s="6" t="s">
        <v>1208</v>
      </c>
      <c r="L38" s="6" t="s">
        <v>1209</v>
      </c>
      <c r="M38" s="7" t="s">
        <v>1210</v>
      </c>
      <c r="N38" s="6" t="s">
        <v>285</v>
      </c>
      <c r="O38" s="6" t="s">
        <v>1211</v>
      </c>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1309</v>
      </c>
      <c r="C39" s="4" t="s">
        <v>460</v>
      </c>
      <c r="D39" s="4" t="s">
        <v>619</v>
      </c>
      <c r="E39" s="4" t="s">
        <v>1310</v>
      </c>
      <c r="F39" s="4" t="s">
        <v>1311</v>
      </c>
      <c r="G39" s="5" t="s">
        <v>463</v>
      </c>
      <c r="H39" s="5" t="s">
        <v>464</v>
      </c>
      <c r="I39" s="4" t="s">
        <v>1207</v>
      </c>
      <c r="J39" s="12" t="s">
        <v>282</v>
      </c>
      <c r="K39" s="4" t="s">
        <v>1208</v>
      </c>
      <c r="L39" s="4" t="s">
        <v>1209</v>
      </c>
      <c r="M39" s="5" t="s">
        <v>1210</v>
      </c>
      <c r="N39" s="4" t="s">
        <v>285</v>
      </c>
      <c r="O39" s="4" t="s">
        <v>1211</v>
      </c>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1312</v>
      </c>
      <c r="C40" s="6" t="s">
        <v>466</v>
      </c>
      <c r="D40" s="6" t="s">
        <v>619</v>
      </c>
      <c r="E40" s="6" t="s">
        <v>1313</v>
      </c>
      <c r="F40" s="6" t="s">
        <v>1314</v>
      </c>
      <c r="G40" s="7" t="s">
        <v>468</v>
      </c>
      <c r="H40" s="7" t="s">
        <v>469</v>
      </c>
      <c r="I40" s="6" t="s">
        <v>1207</v>
      </c>
      <c r="J40" s="13" t="s">
        <v>282</v>
      </c>
      <c r="K40" s="6" t="s">
        <v>1208</v>
      </c>
      <c r="L40" s="6" t="s">
        <v>1209</v>
      </c>
      <c r="M40" s="7" t="s">
        <v>1210</v>
      </c>
      <c r="N40" s="6" t="s">
        <v>285</v>
      </c>
      <c r="O40" s="6" t="s">
        <v>1211</v>
      </c>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1315</v>
      </c>
      <c r="C41" s="4" t="s">
        <v>471</v>
      </c>
      <c r="D41" s="4" t="s">
        <v>619</v>
      </c>
      <c r="E41" s="4" t="s">
        <v>1316</v>
      </c>
      <c r="F41" s="4" t="s">
        <v>1317</v>
      </c>
      <c r="G41" s="5" t="s">
        <v>474</v>
      </c>
      <c r="H41" s="5" t="s">
        <v>475</v>
      </c>
      <c r="I41" s="4" t="s">
        <v>1207</v>
      </c>
      <c r="J41" s="12" t="s">
        <v>282</v>
      </c>
      <c r="K41" s="4" t="s">
        <v>1208</v>
      </c>
      <c r="L41" s="4" t="s">
        <v>1209</v>
      </c>
      <c r="M41" s="5" t="s">
        <v>1210</v>
      </c>
      <c r="N41" s="4" t="s">
        <v>285</v>
      </c>
      <c r="O41" s="4" t="s">
        <v>1211</v>
      </c>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1318</v>
      </c>
      <c r="C42" s="6" t="s">
        <v>477</v>
      </c>
      <c r="D42" s="6" t="s">
        <v>619</v>
      </c>
      <c r="E42" s="6" t="s">
        <v>1319</v>
      </c>
      <c r="F42" s="6" t="s">
        <v>1320</v>
      </c>
      <c r="G42" s="7" t="s">
        <v>479</v>
      </c>
      <c r="H42" s="7" t="s">
        <v>480</v>
      </c>
      <c r="I42" s="6" t="s">
        <v>1207</v>
      </c>
      <c r="J42" s="13" t="s">
        <v>282</v>
      </c>
      <c r="K42" s="6" t="s">
        <v>1208</v>
      </c>
      <c r="L42" s="6" t="s">
        <v>1209</v>
      </c>
      <c r="M42" s="7" t="s">
        <v>1210</v>
      </c>
      <c r="N42" s="6" t="s">
        <v>285</v>
      </c>
      <c r="O42" s="6" t="s">
        <v>1211</v>
      </c>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578</v>
      </c>
      <c r="C43" s="4" t="s">
        <v>482</v>
      </c>
      <c r="D43" s="4" t="s">
        <v>619</v>
      </c>
      <c r="E43" s="4" t="s">
        <v>1321</v>
      </c>
      <c r="F43" s="4" t="s">
        <v>1322</v>
      </c>
      <c r="G43" s="5" t="s">
        <v>484</v>
      </c>
      <c r="H43" s="5" t="s">
        <v>485</v>
      </c>
      <c r="I43" s="4" t="s">
        <v>1207</v>
      </c>
      <c r="J43" s="12" t="s">
        <v>282</v>
      </c>
      <c r="K43" s="4" t="s">
        <v>1208</v>
      </c>
      <c r="L43" s="4" t="s">
        <v>1209</v>
      </c>
      <c r="M43" s="5" t="s">
        <v>1210</v>
      </c>
      <c r="N43" s="4" t="s">
        <v>285</v>
      </c>
      <c r="O43" s="4" t="s">
        <v>1211</v>
      </c>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1323</v>
      </c>
      <c r="C44" s="6" t="s">
        <v>487</v>
      </c>
      <c r="D44" s="6" t="s">
        <v>619</v>
      </c>
      <c r="E44" s="6" t="s">
        <v>1324</v>
      </c>
      <c r="F44" s="6" t="s">
        <v>1325</v>
      </c>
      <c r="G44" s="7" t="s">
        <v>489</v>
      </c>
      <c r="H44" s="7" t="s">
        <v>490</v>
      </c>
      <c r="I44" s="6" t="s">
        <v>1207</v>
      </c>
      <c r="J44" s="13" t="s">
        <v>282</v>
      </c>
      <c r="K44" s="6" t="s">
        <v>1208</v>
      </c>
      <c r="L44" s="6" t="s">
        <v>1209</v>
      </c>
      <c r="M44" s="7" t="s">
        <v>1210</v>
      </c>
      <c r="N44" s="6" t="s">
        <v>285</v>
      </c>
      <c r="O44" s="6" t="s">
        <v>1211</v>
      </c>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1326</v>
      </c>
      <c r="C45" s="4" t="s">
        <v>492</v>
      </c>
      <c r="D45" s="4" t="s">
        <v>619</v>
      </c>
      <c r="E45" s="4" t="s">
        <v>1327</v>
      </c>
      <c r="F45" s="4" t="s">
        <v>1328</v>
      </c>
      <c r="G45" s="5" t="s">
        <v>494</v>
      </c>
      <c r="H45" s="5" t="s">
        <v>495</v>
      </c>
      <c r="I45" s="4" t="s">
        <v>1207</v>
      </c>
      <c r="J45" s="12" t="s">
        <v>282</v>
      </c>
      <c r="K45" s="4" t="s">
        <v>1208</v>
      </c>
      <c r="L45" s="4" t="s">
        <v>1209</v>
      </c>
      <c r="M45" s="5" t="s">
        <v>1210</v>
      </c>
      <c r="N45" s="4" t="s">
        <v>285</v>
      </c>
      <c r="O45" s="4" t="s">
        <v>1211</v>
      </c>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1329</v>
      </c>
      <c r="C46" s="6" t="s">
        <v>497</v>
      </c>
      <c r="D46" s="6" t="s">
        <v>619</v>
      </c>
      <c r="E46" s="6" t="s">
        <v>1330</v>
      </c>
      <c r="F46" s="6" t="s">
        <v>1331</v>
      </c>
      <c r="G46" s="7" t="s">
        <v>499</v>
      </c>
      <c r="H46" s="7" t="s">
        <v>500</v>
      </c>
      <c r="I46" s="6" t="s">
        <v>1207</v>
      </c>
      <c r="J46" s="13" t="s">
        <v>282</v>
      </c>
      <c r="K46" s="6" t="s">
        <v>1208</v>
      </c>
      <c r="L46" s="6" t="s">
        <v>1209</v>
      </c>
      <c r="M46" s="7" t="s">
        <v>1210</v>
      </c>
      <c r="N46" s="6" t="s">
        <v>285</v>
      </c>
      <c r="O46" s="6" t="s">
        <v>1211</v>
      </c>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1332</v>
      </c>
      <c r="C47" s="4" t="s">
        <v>502</v>
      </c>
      <c r="D47" s="4" t="s">
        <v>619</v>
      </c>
      <c r="E47" s="4" t="s">
        <v>1333</v>
      </c>
      <c r="F47" s="4" t="s">
        <v>1334</v>
      </c>
      <c r="G47" s="5" t="s">
        <v>504</v>
      </c>
      <c r="H47" s="5" t="s">
        <v>505</v>
      </c>
      <c r="I47" s="4" t="s">
        <v>1207</v>
      </c>
      <c r="J47" s="12" t="s">
        <v>282</v>
      </c>
      <c r="K47" s="4" t="s">
        <v>1208</v>
      </c>
      <c r="L47" s="4" t="s">
        <v>1209</v>
      </c>
      <c r="M47" s="5" t="s">
        <v>1210</v>
      </c>
      <c r="N47" s="4" t="s">
        <v>285</v>
      </c>
      <c r="O47" s="4" t="s">
        <v>1211</v>
      </c>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1335</v>
      </c>
      <c r="C48" s="6" t="s">
        <v>507</v>
      </c>
      <c r="D48" s="6" t="s">
        <v>619</v>
      </c>
      <c r="E48" s="6" t="s">
        <v>1336</v>
      </c>
      <c r="F48" s="6" t="s">
        <v>1337</v>
      </c>
      <c r="G48" s="7" t="s">
        <v>509</v>
      </c>
      <c r="H48" s="7" t="s">
        <v>510</v>
      </c>
      <c r="I48" s="6" t="s">
        <v>1207</v>
      </c>
      <c r="J48" s="13" t="s">
        <v>282</v>
      </c>
      <c r="K48" s="6" t="s">
        <v>1208</v>
      </c>
      <c r="L48" s="6" t="s">
        <v>1209</v>
      </c>
      <c r="M48" s="7" t="s">
        <v>1210</v>
      </c>
      <c r="N48" s="6" t="s">
        <v>285</v>
      </c>
      <c r="O48" s="6" t="s">
        <v>1211</v>
      </c>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1338</v>
      </c>
      <c r="C49" s="4" t="s">
        <v>512</v>
      </c>
      <c r="D49" s="4" t="s">
        <v>619</v>
      </c>
      <c r="E49" s="4" t="s">
        <v>1339</v>
      </c>
      <c r="F49" s="4" t="s">
        <v>1340</v>
      </c>
      <c r="G49" s="5" t="s">
        <v>514</v>
      </c>
      <c r="H49" s="5" t="s">
        <v>515</v>
      </c>
      <c r="I49" s="4" t="s">
        <v>1207</v>
      </c>
      <c r="J49" s="12" t="s">
        <v>282</v>
      </c>
      <c r="K49" s="4" t="s">
        <v>1208</v>
      </c>
      <c r="L49" s="4" t="s">
        <v>1209</v>
      </c>
      <c r="M49" s="5" t="s">
        <v>1210</v>
      </c>
      <c r="N49" s="4" t="s">
        <v>285</v>
      </c>
      <c r="O49" s="4" t="s">
        <v>1211</v>
      </c>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1341</v>
      </c>
      <c r="C50" s="6" t="s">
        <v>517</v>
      </c>
      <c r="D50" s="6" t="s">
        <v>619</v>
      </c>
      <c r="E50" s="6" t="s">
        <v>1342</v>
      </c>
      <c r="F50" s="6" t="s">
        <v>1343</v>
      </c>
      <c r="G50" s="7" t="s">
        <v>519</v>
      </c>
      <c r="H50" s="7" t="s">
        <v>520</v>
      </c>
      <c r="I50" s="6" t="s">
        <v>1207</v>
      </c>
      <c r="J50" s="13" t="s">
        <v>282</v>
      </c>
      <c r="K50" s="6" t="s">
        <v>1208</v>
      </c>
      <c r="L50" s="6" t="s">
        <v>1209</v>
      </c>
      <c r="M50" s="7" t="s">
        <v>1210</v>
      </c>
      <c r="N50" s="6" t="s">
        <v>285</v>
      </c>
      <c r="O50" s="6" t="s">
        <v>1211</v>
      </c>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1344</v>
      </c>
      <c r="C51" s="4" t="s">
        <v>522</v>
      </c>
      <c r="D51" s="4" t="s">
        <v>619</v>
      </c>
      <c r="E51" s="4" t="s">
        <v>1345</v>
      </c>
      <c r="F51" s="4" t="s">
        <v>1346</v>
      </c>
      <c r="G51" s="5" t="s">
        <v>524</v>
      </c>
      <c r="H51" s="5" t="s">
        <v>525</v>
      </c>
      <c r="I51" s="4" t="s">
        <v>1207</v>
      </c>
      <c r="J51" s="12" t="s">
        <v>282</v>
      </c>
      <c r="K51" s="4" t="s">
        <v>1208</v>
      </c>
      <c r="L51" s="4" t="s">
        <v>1209</v>
      </c>
      <c r="M51" s="5" t="s">
        <v>1210</v>
      </c>
      <c r="N51" s="4" t="s">
        <v>285</v>
      </c>
      <c r="O51" s="4" t="s">
        <v>1211</v>
      </c>
      <c r="P51" s="4"/>
      <c r="Q51" s="4"/>
      <c r="R51" s="4"/>
      <c r="S51" s="4"/>
      <c r="T51" s="4"/>
      <c r="U51" s="4"/>
      <c r="V51" s="4"/>
      <c r="W51" s="4"/>
      <c r="X51" s="4"/>
      <c r="Y51" s="4"/>
      <c r="Z51" s="4"/>
      <c r="AA51" s="4"/>
      <c r="AB51" s="4"/>
      <c r="AC51" s="4"/>
      <c r="AD51" s="4"/>
      <c r="AE51" s="4"/>
      <c r="AF51" s="4"/>
      <c r="AG51" s="4"/>
      <c r="AH51" s="4"/>
      <c r="AI51" s="4"/>
    </row>
  </sheetData>
  <hyperlinks>
    <hyperlink ref="A1" r:id="rId1" location="#'P-00 INDEX'!A1"/>
    <hyperlink ref="B1" r:id="rId2" location="#'P-Work'!A1"/>
    <hyperlink ref="G5" r:id="rId3"/>
    <hyperlink ref="H5" r:id="rId4"/>
    <hyperlink ref="M5" r:id="rId5"/>
    <hyperlink ref="G6" r:id="rId6"/>
    <hyperlink ref="H6" r:id="rId7"/>
    <hyperlink ref="M6" r:id="rId8"/>
    <hyperlink ref="G7" r:id="rId9"/>
    <hyperlink ref="H7" r:id="rId10"/>
    <hyperlink ref="M7" r:id="rId11"/>
    <hyperlink ref="G8" r:id="rId12"/>
    <hyperlink ref="H8" r:id="rId13"/>
    <hyperlink ref="M8" r:id="rId14"/>
    <hyperlink ref="G9" r:id="rId15"/>
    <hyperlink ref="H9" r:id="rId16"/>
    <hyperlink ref="M9" r:id="rId17"/>
    <hyperlink ref="G10" r:id="rId18"/>
    <hyperlink ref="H10" r:id="rId19"/>
    <hyperlink ref="M10" r:id="rId20"/>
    <hyperlink ref="G11" r:id="rId21"/>
    <hyperlink ref="H11" r:id="rId22"/>
    <hyperlink ref="M11" r:id="rId23"/>
    <hyperlink ref="G12" r:id="rId24"/>
    <hyperlink ref="H12" r:id="rId25"/>
    <hyperlink ref="M12" r:id="rId26"/>
    <hyperlink ref="G13" r:id="rId27"/>
    <hyperlink ref="H13" r:id="rId28"/>
    <hyperlink ref="M13" r:id="rId29"/>
    <hyperlink ref="G14" r:id="rId30"/>
    <hyperlink ref="H14" r:id="rId31"/>
    <hyperlink ref="M14" r:id="rId32"/>
    <hyperlink ref="G15" r:id="rId33"/>
    <hyperlink ref="H15" r:id="rId34"/>
    <hyperlink ref="M15" r:id="rId35"/>
    <hyperlink ref="G16" r:id="rId36"/>
    <hyperlink ref="H16" r:id="rId37"/>
    <hyperlink ref="M16" r:id="rId38"/>
    <hyperlink ref="G17" r:id="rId39"/>
    <hyperlink ref="H17" r:id="rId40"/>
    <hyperlink ref="M17" r:id="rId41"/>
    <hyperlink ref="G18" r:id="rId42"/>
    <hyperlink ref="H18" r:id="rId43"/>
    <hyperlink ref="M18" r:id="rId44"/>
    <hyperlink ref="G19" r:id="rId45"/>
    <hyperlink ref="H19" r:id="rId46"/>
    <hyperlink ref="M19" r:id="rId47"/>
    <hyperlink ref="G20" r:id="rId48"/>
    <hyperlink ref="H20" r:id="rId49"/>
    <hyperlink ref="M20" r:id="rId50"/>
    <hyperlink ref="G21" r:id="rId51"/>
    <hyperlink ref="H21" r:id="rId52"/>
    <hyperlink ref="M21" r:id="rId53"/>
    <hyperlink ref="G22" r:id="rId54"/>
    <hyperlink ref="H22" r:id="rId55"/>
    <hyperlink ref="M22" r:id="rId56"/>
    <hyperlink ref="G23" r:id="rId57"/>
    <hyperlink ref="H23" r:id="rId58"/>
    <hyperlink ref="M23" r:id="rId59"/>
    <hyperlink ref="G24" r:id="rId60"/>
    <hyperlink ref="H24" r:id="rId61"/>
    <hyperlink ref="M24" r:id="rId62"/>
    <hyperlink ref="G25" r:id="rId63"/>
    <hyperlink ref="H25" r:id="rId64"/>
    <hyperlink ref="M25" r:id="rId65"/>
    <hyperlink ref="G26" r:id="rId66"/>
    <hyperlink ref="H26" r:id="rId67"/>
    <hyperlink ref="M26" r:id="rId68"/>
    <hyperlink ref="G27" r:id="rId69"/>
    <hyperlink ref="H27" r:id="rId70"/>
    <hyperlink ref="M27" r:id="rId71"/>
    <hyperlink ref="G28" r:id="rId72"/>
    <hyperlink ref="H28" r:id="rId73"/>
    <hyperlink ref="M28" r:id="rId74"/>
    <hyperlink ref="G29" r:id="rId75"/>
    <hyperlink ref="H29" r:id="rId76"/>
    <hyperlink ref="M29" r:id="rId77"/>
    <hyperlink ref="G30" r:id="rId78"/>
    <hyperlink ref="H30" r:id="rId79"/>
    <hyperlink ref="M30" r:id="rId80"/>
    <hyperlink ref="G31" r:id="rId81"/>
    <hyperlink ref="H31" r:id="rId82"/>
    <hyperlink ref="M31" r:id="rId83"/>
    <hyperlink ref="G32" r:id="rId84"/>
    <hyperlink ref="H32" r:id="rId85"/>
    <hyperlink ref="M32" r:id="rId86"/>
    <hyperlink ref="G33" r:id="rId87"/>
    <hyperlink ref="H33" r:id="rId88"/>
    <hyperlink ref="M33" r:id="rId89"/>
    <hyperlink ref="G34" r:id="rId90"/>
    <hyperlink ref="H34" r:id="rId91"/>
    <hyperlink ref="M34" r:id="rId92"/>
    <hyperlink ref="G35" r:id="rId93"/>
    <hyperlink ref="H35" r:id="rId94"/>
    <hyperlink ref="M35" r:id="rId95"/>
    <hyperlink ref="G36" r:id="rId96"/>
    <hyperlink ref="H36" r:id="rId97"/>
    <hyperlink ref="M36" r:id="rId98"/>
    <hyperlink ref="G37" r:id="rId99"/>
    <hyperlink ref="H37" r:id="rId100"/>
    <hyperlink ref="M37" r:id="rId101"/>
    <hyperlink ref="G38" r:id="rId102"/>
    <hyperlink ref="H38" r:id="rId103"/>
    <hyperlink ref="M38" r:id="rId104"/>
    <hyperlink ref="G39" r:id="rId105"/>
    <hyperlink ref="H39" r:id="rId106"/>
    <hyperlink ref="M39" r:id="rId107"/>
    <hyperlink ref="G40" r:id="rId108"/>
    <hyperlink ref="H40" r:id="rId109"/>
    <hyperlink ref="M40" r:id="rId110"/>
    <hyperlink ref="G41" r:id="rId111"/>
    <hyperlink ref="H41" r:id="rId112"/>
    <hyperlink ref="M41" r:id="rId113"/>
    <hyperlink ref="G42" r:id="rId114"/>
    <hyperlink ref="H42" r:id="rId115"/>
    <hyperlink ref="M42" r:id="rId116"/>
    <hyperlink ref="G43" r:id="rId117"/>
    <hyperlink ref="H43" r:id="rId118"/>
    <hyperlink ref="M43" r:id="rId119"/>
    <hyperlink ref="G44" r:id="rId120"/>
    <hyperlink ref="H44" r:id="rId121"/>
    <hyperlink ref="M44" r:id="rId122"/>
    <hyperlink ref="G45" r:id="rId123"/>
    <hyperlink ref="H45" r:id="rId124"/>
    <hyperlink ref="M45" r:id="rId125"/>
    <hyperlink ref="G46" r:id="rId126"/>
    <hyperlink ref="H46" r:id="rId127"/>
    <hyperlink ref="M46" r:id="rId128"/>
    <hyperlink ref="G47" r:id="rId129"/>
    <hyperlink ref="H47" r:id="rId130"/>
    <hyperlink ref="M47" r:id="rId131"/>
    <hyperlink ref="G48" r:id="rId132"/>
    <hyperlink ref="H48" r:id="rId133"/>
    <hyperlink ref="M48" r:id="rId134"/>
    <hyperlink ref="G49" r:id="rId135"/>
    <hyperlink ref="H49" r:id="rId136"/>
    <hyperlink ref="M49" r:id="rId137"/>
    <hyperlink ref="G50" r:id="rId138"/>
    <hyperlink ref="H50" r:id="rId139"/>
    <hyperlink ref="M50" r:id="rId140"/>
    <hyperlink ref="G51" r:id="rId141"/>
    <hyperlink ref="H51" r:id="rId142"/>
    <hyperlink ref="M51" r:id="rId143"/>
  </hyperlink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1"/>
  <sheetViews>
    <sheetView workbookViewId="0"/>
  </sheetViews>
  <sheetFormatPr defaultRowHeight="15" outlineLevelRow="0" outlineLevelCol="0" x14ac:dyDescent="55"/>
  <cols>
    <col min="1" max="1" width="63" customWidth="1"/>
    <col min="2" max="2" width="33" customWidth="1"/>
    <col min="3" max="3" width="57" customWidth="1"/>
    <col min="4" max="4" width="15" customWidth="1"/>
    <col min="5" max="7" width="63" customWidth="1"/>
    <col min="8" max="8" width="57" customWidth="1"/>
    <col min="9" max="9" width="52" customWidth="1"/>
    <col min="10" max="10" width="28" customWidth="1"/>
    <col min="11" max="11" width="42" customWidth="1"/>
    <col min="12" max="12" width="55" customWidth="1"/>
    <col min="13" max="35" width="15" customWidth="1"/>
  </cols>
  <sheetData>
    <row r="1" ht="24" customHeight="1" spans="1:35" x14ac:dyDescent="0.25">
      <c r="A1" s="8" t="s">
        <v>117</v>
      </c>
      <c r="B1" s="8" t="s">
        <v>812</v>
      </c>
    </row>
    <row r="2" spans="1:35" x14ac:dyDescent="0.25">
      <c r="A2" s="1" t="s">
        <v>1347</v>
      </c>
    </row>
    <row r="4" ht="26" customHeight="1" spans="1:35" s="11" customFormat="1" x14ac:dyDescent="0.25">
      <c r="A4" s="11" t="s">
        <v>2</v>
      </c>
      <c r="B4" s="11" t="s">
        <v>254</v>
      </c>
      <c r="C4" s="11" t="s">
        <v>255</v>
      </c>
      <c r="D4" s="11" t="s">
        <v>256</v>
      </c>
      <c r="E4" s="11" t="s">
        <v>1348</v>
      </c>
      <c r="F4" s="11" t="s">
        <v>1349</v>
      </c>
      <c r="G4" s="11" t="s">
        <v>261</v>
      </c>
      <c r="H4" s="11" t="s">
        <v>1350</v>
      </c>
      <c r="I4" s="11" t="s">
        <v>1351</v>
      </c>
      <c r="J4" s="11" t="s">
        <v>1352</v>
      </c>
      <c r="K4" s="11" t="s">
        <v>1353</v>
      </c>
      <c r="L4" s="11" t="s">
        <v>1354</v>
      </c>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274</v>
      </c>
      <c r="C5" s="4" t="s">
        <v>275</v>
      </c>
      <c r="D5" s="4" t="s">
        <v>276</v>
      </c>
      <c r="E5" s="4" t="s">
        <v>1355</v>
      </c>
      <c r="F5" s="4" t="s">
        <v>1356</v>
      </c>
      <c r="G5" s="4" t="s">
        <v>281</v>
      </c>
      <c r="H5" s="4" t="s">
        <v>275</v>
      </c>
      <c r="I5" s="4" t="s">
        <v>1357</v>
      </c>
      <c r="J5" s="4" t="s">
        <v>1358</v>
      </c>
      <c r="K5" s="4" t="s">
        <v>1359</v>
      </c>
      <c r="L5" s="5" t="s">
        <v>277</v>
      </c>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289</v>
      </c>
      <c r="C6" s="6" t="s">
        <v>290</v>
      </c>
      <c r="D6" s="6" t="s">
        <v>276</v>
      </c>
      <c r="E6" s="6" t="s">
        <v>1360</v>
      </c>
      <c r="F6" s="6" t="s">
        <v>1361</v>
      </c>
      <c r="G6" s="6" t="s">
        <v>293</v>
      </c>
      <c r="H6" s="6" t="s">
        <v>290</v>
      </c>
      <c r="I6" s="6" t="s">
        <v>1357</v>
      </c>
      <c r="J6" s="6" t="s">
        <v>1362</v>
      </c>
      <c r="K6" s="6" t="s">
        <v>1359</v>
      </c>
      <c r="L6" s="7" t="s">
        <v>291</v>
      </c>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294</v>
      </c>
      <c r="C7" s="4" t="s">
        <v>295</v>
      </c>
      <c r="D7" s="4" t="s">
        <v>276</v>
      </c>
      <c r="E7" s="4" t="s">
        <v>1363</v>
      </c>
      <c r="F7" s="4" t="s">
        <v>1364</v>
      </c>
      <c r="G7" s="4" t="s">
        <v>298</v>
      </c>
      <c r="H7" s="4" t="s">
        <v>295</v>
      </c>
      <c r="I7" s="4" t="s">
        <v>1357</v>
      </c>
      <c r="J7" s="4" t="s">
        <v>1362</v>
      </c>
      <c r="K7" s="4" t="s">
        <v>1359</v>
      </c>
      <c r="L7" s="5" t="s">
        <v>296</v>
      </c>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299</v>
      </c>
      <c r="C8" s="6" t="s">
        <v>300</v>
      </c>
      <c r="D8" s="6" t="s">
        <v>276</v>
      </c>
      <c r="E8" s="6" t="s">
        <v>1365</v>
      </c>
      <c r="F8" s="6" t="s">
        <v>1366</v>
      </c>
      <c r="G8" s="6" t="s">
        <v>303</v>
      </c>
      <c r="H8" s="6" t="s">
        <v>300</v>
      </c>
      <c r="I8" s="6" t="s">
        <v>1357</v>
      </c>
      <c r="J8" s="6" t="s">
        <v>1362</v>
      </c>
      <c r="K8" s="6" t="s">
        <v>1359</v>
      </c>
      <c r="L8" s="7" t="s">
        <v>301</v>
      </c>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304</v>
      </c>
      <c r="C9" s="4" t="s">
        <v>305</v>
      </c>
      <c r="D9" s="4" t="s">
        <v>276</v>
      </c>
      <c r="E9" s="4" t="s">
        <v>1367</v>
      </c>
      <c r="F9" s="4" t="s">
        <v>1368</v>
      </c>
      <c r="G9" s="4" t="s">
        <v>308</v>
      </c>
      <c r="H9" s="4" t="s">
        <v>305</v>
      </c>
      <c r="I9" s="4" t="s">
        <v>1357</v>
      </c>
      <c r="J9" s="4" t="s">
        <v>1362</v>
      </c>
      <c r="K9" s="4" t="s">
        <v>1359</v>
      </c>
      <c r="L9" s="5" t="s">
        <v>306</v>
      </c>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309</v>
      </c>
      <c r="C10" s="6" t="s">
        <v>310</v>
      </c>
      <c r="D10" s="6" t="s">
        <v>276</v>
      </c>
      <c r="E10" s="6" t="s">
        <v>1369</v>
      </c>
      <c r="F10" s="6" t="s">
        <v>1370</v>
      </c>
      <c r="G10" s="6" t="s">
        <v>313</v>
      </c>
      <c r="H10" s="6" t="s">
        <v>310</v>
      </c>
      <c r="I10" s="6" t="s">
        <v>1357</v>
      </c>
      <c r="J10" s="6" t="s">
        <v>1362</v>
      </c>
      <c r="K10" s="6" t="s">
        <v>1359</v>
      </c>
      <c r="L10" s="7" t="s">
        <v>311</v>
      </c>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314</v>
      </c>
      <c r="C11" s="4" t="s">
        <v>315</v>
      </c>
      <c r="D11" s="4" t="s">
        <v>276</v>
      </c>
      <c r="E11" s="4" t="s">
        <v>1371</v>
      </c>
      <c r="F11" s="4" t="s">
        <v>1372</v>
      </c>
      <c r="G11" s="4" t="s">
        <v>318</v>
      </c>
      <c r="H11" s="4" t="s">
        <v>315</v>
      </c>
      <c r="I11" s="4" t="s">
        <v>1357</v>
      </c>
      <c r="J11" s="4" t="s">
        <v>1362</v>
      </c>
      <c r="K11" s="4" t="s">
        <v>1359</v>
      </c>
      <c r="L11" s="5" t="s">
        <v>316</v>
      </c>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319</v>
      </c>
      <c r="C12" s="6" t="s">
        <v>320</v>
      </c>
      <c r="D12" s="6" t="s">
        <v>321</v>
      </c>
      <c r="E12" s="6" t="s">
        <v>1373</v>
      </c>
      <c r="F12" s="6" t="s">
        <v>1374</v>
      </c>
      <c r="G12" s="6" t="s">
        <v>324</v>
      </c>
      <c r="H12" s="6" t="s">
        <v>320</v>
      </c>
      <c r="I12" s="6" t="s">
        <v>1357</v>
      </c>
      <c r="J12" s="6" t="s">
        <v>1362</v>
      </c>
      <c r="K12" s="6" t="s">
        <v>1359</v>
      </c>
      <c r="L12" s="7" t="s">
        <v>322</v>
      </c>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325</v>
      </c>
      <c r="C13" s="4" t="s">
        <v>326</v>
      </c>
      <c r="D13" s="4" t="s">
        <v>321</v>
      </c>
      <c r="E13" s="4" t="s">
        <v>1375</v>
      </c>
      <c r="F13" s="4" t="s">
        <v>1376</v>
      </c>
      <c r="G13" s="4" t="s">
        <v>329</v>
      </c>
      <c r="H13" s="4" t="s">
        <v>326</v>
      </c>
      <c r="I13" s="4" t="s">
        <v>1357</v>
      </c>
      <c r="J13" s="4" t="s">
        <v>1362</v>
      </c>
      <c r="K13" s="4" t="s">
        <v>1359</v>
      </c>
      <c r="L13" s="5" t="s">
        <v>327</v>
      </c>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330</v>
      </c>
      <c r="C14" s="6" t="s">
        <v>331</v>
      </c>
      <c r="D14" s="6" t="s">
        <v>321</v>
      </c>
      <c r="E14" s="6" t="s">
        <v>1377</v>
      </c>
      <c r="F14" s="6" t="s">
        <v>1378</v>
      </c>
      <c r="G14" s="6" t="s">
        <v>334</v>
      </c>
      <c r="H14" s="6" t="s">
        <v>331</v>
      </c>
      <c r="I14" s="6" t="s">
        <v>1357</v>
      </c>
      <c r="J14" s="6" t="s">
        <v>1362</v>
      </c>
      <c r="K14" s="6" t="s">
        <v>1359</v>
      </c>
      <c r="L14" s="7" t="s">
        <v>332</v>
      </c>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335</v>
      </c>
      <c r="C15" s="4" t="s">
        <v>336</v>
      </c>
      <c r="D15" s="4" t="s">
        <v>321</v>
      </c>
      <c r="E15" s="4" t="s">
        <v>1379</v>
      </c>
      <c r="F15" s="4" t="s">
        <v>1380</v>
      </c>
      <c r="G15" s="4" t="s">
        <v>339</v>
      </c>
      <c r="H15" s="4" t="s">
        <v>336</v>
      </c>
      <c r="I15" s="4" t="s">
        <v>1357</v>
      </c>
      <c r="J15" s="4" t="s">
        <v>1362</v>
      </c>
      <c r="K15" s="4" t="s">
        <v>1359</v>
      </c>
      <c r="L15" s="5" t="s">
        <v>337</v>
      </c>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340</v>
      </c>
      <c r="C16" s="6" t="s">
        <v>341</v>
      </c>
      <c r="D16" s="6" t="s">
        <v>321</v>
      </c>
      <c r="E16" s="6" t="s">
        <v>1381</v>
      </c>
      <c r="F16" s="6" t="s">
        <v>1382</v>
      </c>
      <c r="G16" s="6" t="s">
        <v>344</v>
      </c>
      <c r="H16" s="6" t="s">
        <v>341</v>
      </c>
      <c r="I16" s="6" t="s">
        <v>1357</v>
      </c>
      <c r="J16" s="6" t="s">
        <v>1362</v>
      </c>
      <c r="K16" s="6" t="s">
        <v>1359</v>
      </c>
      <c r="L16" s="7" t="s">
        <v>342</v>
      </c>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345</v>
      </c>
      <c r="C17" s="4" t="s">
        <v>346</v>
      </c>
      <c r="D17" s="4" t="s">
        <v>321</v>
      </c>
      <c r="E17" s="4" t="s">
        <v>1383</v>
      </c>
      <c r="F17" s="4" t="s">
        <v>1384</v>
      </c>
      <c r="G17" s="4" t="s">
        <v>349</v>
      </c>
      <c r="H17" s="4" t="s">
        <v>346</v>
      </c>
      <c r="I17" s="4" t="s">
        <v>1357</v>
      </c>
      <c r="J17" s="4" t="s">
        <v>1362</v>
      </c>
      <c r="K17" s="4" t="s">
        <v>1359</v>
      </c>
      <c r="L17" s="5" t="s">
        <v>347</v>
      </c>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350</v>
      </c>
      <c r="C18" s="6" t="s">
        <v>351</v>
      </c>
      <c r="D18" s="6" t="s">
        <v>352</v>
      </c>
      <c r="E18" s="6" t="s">
        <v>1385</v>
      </c>
      <c r="F18" s="6" t="s">
        <v>1386</v>
      </c>
      <c r="G18" s="6" t="s">
        <v>355</v>
      </c>
      <c r="H18" s="6" t="s">
        <v>351</v>
      </c>
      <c r="I18" s="6" t="s">
        <v>1357</v>
      </c>
      <c r="J18" s="6" t="s">
        <v>1362</v>
      </c>
      <c r="K18" s="6" t="s">
        <v>1359</v>
      </c>
      <c r="L18" s="7" t="s">
        <v>353</v>
      </c>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356</v>
      </c>
      <c r="C19" s="4" t="s">
        <v>357</v>
      </c>
      <c r="D19" s="4" t="s">
        <v>352</v>
      </c>
      <c r="E19" s="4" t="s">
        <v>1387</v>
      </c>
      <c r="F19" s="4" t="s">
        <v>1388</v>
      </c>
      <c r="G19" s="4" t="s">
        <v>360</v>
      </c>
      <c r="H19" s="4" t="s">
        <v>357</v>
      </c>
      <c r="I19" s="4" t="s">
        <v>1357</v>
      </c>
      <c r="J19" s="4" t="s">
        <v>1362</v>
      </c>
      <c r="K19" s="4" t="s">
        <v>1359</v>
      </c>
      <c r="L19" s="5" t="s">
        <v>358</v>
      </c>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361</v>
      </c>
      <c r="C20" s="6" t="s">
        <v>362</v>
      </c>
      <c r="D20" s="6" t="s">
        <v>352</v>
      </c>
      <c r="E20" s="6" t="s">
        <v>1389</v>
      </c>
      <c r="F20" s="6" t="s">
        <v>1390</v>
      </c>
      <c r="G20" s="6" t="s">
        <v>365</v>
      </c>
      <c r="H20" s="6" t="s">
        <v>362</v>
      </c>
      <c r="I20" s="6" t="s">
        <v>1357</v>
      </c>
      <c r="J20" s="6" t="s">
        <v>1362</v>
      </c>
      <c r="K20" s="6" t="s">
        <v>1359</v>
      </c>
      <c r="L20" s="7" t="s">
        <v>363</v>
      </c>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366</v>
      </c>
      <c r="C21" s="4" t="s">
        <v>367</v>
      </c>
      <c r="D21" s="4" t="s">
        <v>352</v>
      </c>
      <c r="E21" s="4" t="s">
        <v>1391</v>
      </c>
      <c r="F21" s="4" t="s">
        <v>1392</v>
      </c>
      <c r="G21" s="4" t="s">
        <v>370</v>
      </c>
      <c r="H21" s="4" t="s">
        <v>367</v>
      </c>
      <c r="I21" s="4" t="s">
        <v>1357</v>
      </c>
      <c r="J21" s="4" t="s">
        <v>1362</v>
      </c>
      <c r="K21" s="4" t="s">
        <v>1359</v>
      </c>
      <c r="L21" s="5" t="s">
        <v>368</v>
      </c>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371</v>
      </c>
      <c r="C22" s="6" t="s">
        <v>372</v>
      </c>
      <c r="D22" s="6" t="s">
        <v>352</v>
      </c>
      <c r="E22" s="6" t="s">
        <v>1393</v>
      </c>
      <c r="F22" s="6" t="s">
        <v>1394</v>
      </c>
      <c r="G22" s="6" t="s">
        <v>375</v>
      </c>
      <c r="H22" s="6" t="s">
        <v>372</v>
      </c>
      <c r="I22" s="6" t="s">
        <v>1357</v>
      </c>
      <c r="J22" s="6" t="s">
        <v>1362</v>
      </c>
      <c r="K22" s="6" t="s">
        <v>1359</v>
      </c>
      <c r="L22" s="7" t="s">
        <v>373</v>
      </c>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376</v>
      </c>
      <c r="C23" s="4" t="s">
        <v>377</v>
      </c>
      <c r="D23" s="4" t="s">
        <v>352</v>
      </c>
      <c r="E23" s="4" t="s">
        <v>1395</v>
      </c>
      <c r="F23" s="4" t="s">
        <v>1396</v>
      </c>
      <c r="G23" s="4" t="s">
        <v>380</v>
      </c>
      <c r="H23" s="4" t="s">
        <v>377</v>
      </c>
      <c r="I23" s="4" t="s">
        <v>1357</v>
      </c>
      <c r="J23" s="4" t="s">
        <v>1362</v>
      </c>
      <c r="K23" s="4" t="s">
        <v>1359</v>
      </c>
      <c r="L23" s="5" t="s">
        <v>378</v>
      </c>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381</v>
      </c>
      <c r="C24" s="6" t="s">
        <v>382</v>
      </c>
      <c r="D24" s="6" t="s">
        <v>352</v>
      </c>
      <c r="E24" s="6" t="s">
        <v>1397</v>
      </c>
      <c r="F24" s="6" t="s">
        <v>1398</v>
      </c>
      <c r="G24" s="6" t="s">
        <v>385</v>
      </c>
      <c r="H24" s="6" t="s">
        <v>382</v>
      </c>
      <c r="I24" s="6" t="s">
        <v>1357</v>
      </c>
      <c r="J24" s="6" t="s">
        <v>1362</v>
      </c>
      <c r="K24" s="6" t="s">
        <v>1359</v>
      </c>
      <c r="L24" s="7" t="s">
        <v>383</v>
      </c>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386</v>
      </c>
      <c r="C25" s="4" t="s">
        <v>387</v>
      </c>
      <c r="D25" s="4" t="s">
        <v>352</v>
      </c>
      <c r="E25" s="4" t="s">
        <v>1399</v>
      </c>
      <c r="F25" s="4" t="s">
        <v>1400</v>
      </c>
      <c r="G25" s="4" t="s">
        <v>390</v>
      </c>
      <c r="H25" s="4" t="s">
        <v>387</v>
      </c>
      <c r="I25" s="4" t="s">
        <v>1357</v>
      </c>
      <c r="J25" s="4" t="s">
        <v>1362</v>
      </c>
      <c r="K25" s="4" t="s">
        <v>1359</v>
      </c>
      <c r="L25" s="5" t="s">
        <v>388</v>
      </c>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391</v>
      </c>
      <c r="C26" s="6" t="s">
        <v>392</v>
      </c>
      <c r="D26" s="6" t="s">
        <v>393</v>
      </c>
      <c r="E26" s="6" t="s">
        <v>1401</v>
      </c>
      <c r="F26" s="6" t="s">
        <v>1402</v>
      </c>
      <c r="G26" s="6" t="s">
        <v>396</v>
      </c>
      <c r="H26" s="6" t="s">
        <v>392</v>
      </c>
      <c r="I26" s="6" t="s">
        <v>1357</v>
      </c>
      <c r="J26" s="6" t="s">
        <v>1362</v>
      </c>
      <c r="K26" s="6" t="s">
        <v>1359</v>
      </c>
      <c r="L26" s="7" t="s">
        <v>394</v>
      </c>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397</v>
      </c>
      <c r="C27" s="4" t="s">
        <v>398</v>
      </c>
      <c r="D27" s="4" t="s">
        <v>393</v>
      </c>
      <c r="E27" s="4" t="s">
        <v>1403</v>
      </c>
      <c r="F27" s="4" t="s">
        <v>1404</v>
      </c>
      <c r="G27" s="4" t="s">
        <v>401</v>
      </c>
      <c r="H27" s="4" t="s">
        <v>398</v>
      </c>
      <c r="I27" s="4" t="s">
        <v>1357</v>
      </c>
      <c r="J27" s="4" t="s">
        <v>1362</v>
      </c>
      <c r="K27" s="4" t="s">
        <v>1359</v>
      </c>
      <c r="L27" s="5" t="s">
        <v>399</v>
      </c>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402</v>
      </c>
      <c r="C28" s="6" t="s">
        <v>403</v>
      </c>
      <c r="D28" s="6" t="s">
        <v>393</v>
      </c>
      <c r="E28" s="6" t="s">
        <v>1405</v>
      </c>
      <c r="F28" s="6" t="s">
        <v>1406</v>
      </c>
      <c r="G28" s="6" t="s">
        <v>406</v>
      </c>
      <c r="H28" s="6" t="s">
        <v>403</v>
      </c>
      <c r="I28" s="6" t="s">
        <v>1357</v>
      </c>
      <c r="J28" s="6" t="s">
        <v>1407</v>
      </c>
      <c r="K28" s="6" t="s">
        <v>1359</v>
      </c>
      <c r="L28" s="7" t="s">
        <v>404</v>
      </c>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407</v>
      </c>
      <c r="C29" s="4" t="s">
        <v>408</v>
      </c>
      <c r="D29" s="4" t="s">
        <v>393</v>
      </c>
      <c r="E29" s="4" t="s">
        <v>1408</v>
      </c>
      <c r="F29" s="4" t="s">
        <v>1409</v>
      </c>
      <c r="G29" s="4" t="s">
        <v>411</v>
      </c>
      <c r="H29" s="4" t="s">
        <v>408</v>
      </c>
      <c r="I29" s="4" t="s">
        <v>1357</v>
      </c>
      <c r="J29" s="4" t="s">
        <v>1362</v>
      </c>
      <c r="K29" s="4" t="s">
        <v>1359</v>
      </c>
      <c r="L29" s="5" t="s">
        <v>409</v>
      </c>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412</v>
      </c>
      <c r="C30" s="6" t="s">
        <v>413</v>
      </c>
      <c r="D30" s="6" t="s">
        <v>414</v>
      </c>
      <c r="E30" s="6" t="s">
        <v>1410</v>
      </c>
      <c r="F30" s="6" t="s">
        <v>1411</v>
      </c>
      <c r="G30" s="6" t="s">
        <v>417</v>
      </c>
      <c r="H30" s="6" t="s">
        <v>413</v>
      </c>
      <c r="I30" s="6" t="s">
        <v>1357</v>
      </c>
      <c r="J30" s="6" t="s">
        <v>1362</v>
      </c>
      <c r="K30" s="6" t="s">
        <v>1359</v>
      </c>
      <c r="L30" s="7" t="s">
        <v>415</v>
      </c>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418</v>
      </c>
      <c r="C31" s="4" t="s">
        <v>419</v>
      </c>
      <c r="D31" s="4" t="s">
        <v>414</v>
      </c>
      <c r="E31" s="4" t="s">
        <v>1412</v>
      </c>
      <c r="F31" s="4" t="s">
        <v>1413</v>
      </c>
      <c r="G31" s="4" t="s">
        <v>422</v>
      </c>
      <c r="H31" s="4" t="s">
        <v>419</v>
      </c>
      <c r="I31" s="4" t="s">
        <v>1357</v>
      </c>
      <c r="J31" s="4" t="s">
        <v>1362</v>
      </c>
      <c r="K31" s="4" t="s">
        <v>1359</v>
      </c>
      <c r="L31" s="5" t="s">
        <v>420</v>
      </c>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423</v>
      </c>
      <c r="C32" s="6" t="s">
        <v>424</v>
      </c>
      <c r="D32" s="6" t="s">
        <v>414</v>
      </c>
      <c r="E32" s="6" t="s">
        <v>1414</v>
      </c>
      <c r="F32" s="6" t="s">
        <v>1415</v>
      </c>
      <c r="G32" s="6" t="s">
        <v>427</v>
      </c>
      <c r="H32" s="6" t="s">
        <v>424</v>
      </c>
      <c r="I32" s="6" t="s">
        <v>1357</v>
      </c>
      <c r="J32" s="6" t="s">
        <v>1362</v>
      </c>
      <c r="K32" s="6" t="s">
        <v>1359</v>
      </c>
      <c r="L32" s="7" t="s">
        <v>425</v>
      </c>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428</v>
      </c>
      <c r="C33" s="4" t="s">
        <v>429</v>
      </c>
      <c r="D33" s="4" t="s">
        <v>414</v>
      </c>
      <c r="E33" s="4" t="s">
        <v>1416</v>
      </c>
      <c r="F33" s="4" t="s">
        <v>1417</v>
      </c>
      <c r="G33" s="4" t="s">
        <v>432</v>
      </c>
      <c r="H33" s="4" t="s">
        <v>429</v>
      </c>
      <c r="I33" s="4" t="s">
        <v>1357</v>
      </c>
      <c r="J33" s="4" t="s">
        <v>1407</v>
      </c>
      <c r="K33" s="4" t="s">
        <v>1359</v>
      </c>
      <c r="L33" s="5" t="s">
        <v>430</v>
      </c>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433</v>
      </c>
      <c r="C34" s="6" t="s">
        <v>434</v>
      </c>
      <c r="D34" s="6" t="s">
        <v>435</v>
      </c>
      <c r="E34" s="6" t="s">
        <v>1418</v>
      </c>
      <c r="F34" s="6" t="s">
        <v>1419</v>
      </c>
      <c r="G34" s="6" t="s">
        <v>438</v>
      </c>
      <c r="H34" s="6" t="s">
        <v>434</v>
      </c>
      <c r="I34" s="6" t="s">
        <v>1357</v>
      </c>
      <c r="J34" s="6" t="s">
        <v>1362</v>
      </c>
      <c r="K34" s="6" t="s">
        <v>1359</v>
      </c>
      <c r="L34" s="7" t="s">
        <v>436</v>
      </c>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439</v>
      </c>
      <c r="C35" s="4" t="s">
        <v>440</v>
      </c>
      <c r="D35" s="4" t="s">
        <v>435</v>
      </c>
      <c r="E35" s="4" t="s">
        <v>1420</v>
      </c>
      <c r="F35" s="4" t="s">
        <v>1421</v>
      </c>
      <c r="G35" s="4" t="s">
        <v>443</v>
      </c>
      <c r="H35" s="4" t="s">
        <v>440</v>
      </c>
      <c r="I35" s="4" t="s">
        <v>1357</v>
      </c>
      <c r="J35" s="4" t="s">
        <v>1407</v>
      </c>
      <c r="K35" s="4" t="s">
        <v>1359</v>
      </c>
      <c r="L35" s="5" t="s">
        <v>441</v>
      </c>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444</v>
      </c>
      <c r="C36" s="6" t="s">
        <v>445</v>
      </c>
      <c r="D36" s="6" t="s">
        <v>435</v>
      </c>
      <c r="E36" s="6" t="s">
        <v>1422</v>
      </c>
      <c r="F36" s="6" t="s">
        <v>1423</v>
      </c>
      <c r="G36" s="6" t="s">
        <v>448</v>
      </c>
      <c r="H36" s="6" t="s">
        <v>445</v>
      </c>
      <c r="I36" s="6" t="s">
        <v>1357</v>
      </c>
      <c r="J36" s="6" t="s">
        <v>1362</v>
      </c>
      <c r="K36" s="6" t="s">
        <v>1359</v>
      </c>
      <c r="L36" s="7" t="s">
        <v>446</v>
      </c>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449</v>
      </c>
      <c r="C37" s="4" t="s">
        <v>450</v>
      </c>
      <c r="D37" s="4" t="s">
        <v>451</v>
      </c>
      <c r="E37" s="4" t="s">
        <v>1424</v>
      </c>
      <c r="F37" s="4" t="s">
        <v>1425</v>
      </c>
      <c r="G37" s="4" t="s">
        <v>454</v>
      </c>
      <c r="H37" s="4" t="s">
        <v>450</v>
      </c>
      <c r="I37" s="4" t="s">
        <v>1357</v>
      </c>
      <c r="J37" s="4" t="s">
        <v>1362</v>
      </c>
      <c r="K37" s="4" t="s">
        <v>1359</v>
      </c>
      <c r="L37" s="5" t="s">
        <v>452</v>
      </c>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455</v>
      </c>
      <c r="C38" s="6" t="s">
        <v>456</v>
      </c>
      <c r="D38" s="6" t="s">
        <v>451</v>
      </c>
      <c r="E38" s="6" t="s">
        <v>1426</v>
      </c>
      <c r="F38" s="6" t="s">
        <v>1427</v>
      </c>
      <c r="G38" s="6" t="s">
        <v>459</v>
      </c>
      <c r="H38" s="6" t="s">
        <v>456</v>
      </c>
      <c r="I38" s="6" t="s">
        <v>1357</v>
      </c>
      <c r="J38" s="6" t="s">
        <v>1407</v>
      </c>
      <c r="K38" s="6" t="s">
        <v>1359</v>
      </c>
      <c r="L38" s="7" t="s">
        <v>457</v>
      </c>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460</v>
      </c>
      <c r="C39" s="4" t="s">
        <v>461</v>
      </c>
      <c r="D39" s="4" t="s">
        <v>462</v>
      </c>
      <c r="E39" s="4" t="s">
        <v>1428</v>
      </c>
      <c r="F39" s="4" t="s">
        <v>1429</v>
      </c>
      <c r="G39" s="4" t="s">
        <v>465</v>
      </c>
      <c r="H39" s="4" t="s">
        <v>461</v>
      </c>
      <c r="I39" s="4" t="s">
        <v>1357</v>
      </c>
      <c r="J39" s="4" t="s">
        <v>1407</v>
      </c>
      <c r="K39" s="4" t="s">
        <v>1359</v>
      </c>
      <c r="L39" s="5" t="s">
        <v>463</v>
      </c>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466</v>
      </c>
      <c r="C40" s="6" t="s">
        <v>467</v>
      </c>
      <c r="D40" s="6" t="s">
        <v>462</v>
      </c>
      <c r="E40" s="6" t="s">
        <v>1430</v>
      </c>
      <c r="F40" s="6" t="s">
        <v>1431</v>
      </c>
      <c r="G40" s="6" t="s">
        <v>470</v>
      </c>
      <c r="H40" s="6" t="s">
        <v>467</v>
      </c>
      <c r="I40" s="6" t="s">
        <v>1357</v>
      </c>
      <c r="J40" s="6" t="s">
        <v>1407</v>
      </c>
      <c r="K40" s="6" t="s">
        <v>1359</v>
      </c>
      <c r="L40" s="7" t="s">
        <v>468</v>
      </c>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471</v>
      </c>
      <c r="C41" s="4" t="s">
        <v>472</v>
      </c>
      <c r="D41" s="4" t="s">
        <v>473</v>
      </c>
      <c r="E41" s="4" t="s">
        <v>1432</v>
      </c>
      <c r="F41" s="4" t="s">
        <v>1433</v>
      </c>
      <c r="G41" s="4" t="s">
        <v>476</v>
      </c>
      <c r="H41" s="4" t="s">
        <v>472</v>
      </c>
      <c r="I41" s="4" t="s">
        <v>1357</v>
      </c>
      <c r="J41" s="4" t="s">
        <v>1362</v>
      </c>
      <c r="K41" s="4" t="s">
        <v>1359</v>
      </c>
      <c r="L41" s="5" t="s">
        <v>474</v>
      </c>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477</v>
      </c>
      <c r="C42" s="6" t="s">
        <v>478</v>
      </c>
      <c r="D42" s="6" t="s">
        <v>473</v>
      </c>
      <c r="E42" s="6" t="s">
        <v>1434</v>
      </c>
      <c r="F42" s="6" t="s">
        <v>1435</v>
      </c>
      <c r="G42" s="6" t="s">
        <v>481</v>
      </c>
      <c r="H42" s="6" t="s">
        <v>478</v>
      </c>
      <c r="I42" s="6" t="s">
        <v>1357</v>
      </c>
      <c r="J42" s="6" t="s">
        <v>1407</v>
      </c>
      <c r="K42" s="6" t="s">
        <v>1359</v>
      </c>
      <c r="L42" s="7" t="s">
        <v>479</v>
      </c>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482</v>
      </c>
      <c r="C43" s="4" t="s">
        <v>483</v>
      </c>
      <c r="D43" s="4" t="s">
        <v>276</v>
      </c>
      <c r="E43" s="4" t="s">
        <v>1436</v>
      </c>
      <c r="F43" s="4" t="s">
        <v>1437</v>
      </c>
      <c r="G43" s="4" t="s">
        <v>486</v>
      </c>
      <c r="H43" s="4" t="s">
        <v>483</v>
      </c>
      <c r="I43" s="4" t="s">
        <v>1357</v>
      </c>
      <c r="J43" s="4" t="s">
        <v>1358</v>
      </c>
      <c r="K43" s="4" t="s">
        <v>1359</v>
      </c>
      <c r="L43" s="5" t="s">
        <v>484</v>
      </c>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487</v>
      </c>
      <c r="C44" s="6" t="s">
        <v>488</v>
      </c>
      <c r="D44" s="6" t="s">
        <v>352</v>
      </c>
      <c r="E44" s="6" t="s">
        <v>1438</v>
      </c>
      <c r="F44" s="6" t="s">
        <v>1439</v>
      </c>
      <c r="G44" s="6" t="s">
        <v>491</v>
      </c>
      <c r="H44" s="6" t="s">
        <v>488</v>
      </c>
      <c r="I44" s="6" t="s">
        <v>1357</v>
      </c>
      <c r="J44" s="6" t="s">
        <v>1362</v>
      </c>
      <c r="K44" s="6" t="s">
        <v>1359</v>
      </c>
      <c r="L44" s="7" t="s">
        <v>489</v>
      </c>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492</v>
      </c>
      <c r="C45" s="4" t="s">
        <v>493</v>
      </c>
      <c r="D45" s="4" t="s">
        <v>352</v>
      </c>
      <c r="E45" s="4" t="s">
        <v>1440</v>
      </c>
      <c r="F45" s="4" t="s">
        <v>1441</v>
      </c>
      <c r="G45" s="4" t="s">
        <v>496</v>
      </c>
      <c r="H45" s="4" t="s">
        <v>493</v>
      </c>
      <c r="I45" s="4" t="s">
        <v>1357</v>
      </c>
      <c r="J45" s="4" t="s">
        <v>1407</v>
      </c>
      <c r="K45" s="4" t="s">
        <v>1359</v>
      </c>
      <c r="L45" s="5" t="s">
        <v>494</v>
      </c>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497</v>
      </c>
      <c r="C46" s="6" t="s">
        <v>498</v>
      </c>
      <c r="D46" s="6" t="s">
        <v>352</v>
      </c>
      <c r="E46" s="6" t="s">
        <v>1442</v>
      </c>
      <c r="F46" s="6" t="s">
        <v>1443</v>
      </c>
      <c r="G46" s="6" t="s">
        <v>501</v>
      </c>
      <c r="H46" s="6" t="s">
        <v>498</v>
      </c>
      <c r="I46" s="6" t="s">
        <v>1357</v>
      </c>
      <c r="J46" s="6" t="s">
        <v>1407</v>
      </c>
      <c r="K46" s="6" t="s">
        <v>1359</v>
      </c>
      <c r="L46" s="7" t="s">
        <v>499</v>
      </c>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502</v>
      </c>
      <c r="C47" s="4" t="s">
        <v>503</v>
      </c>
      <c r="D47" s="4" t="s">
        <v>451</v>
      </c>
      <c r="E47" s="4" t="s">
        <v>1444</v>
      </c>
      <c r="F47" s="4" t="s">
        <v>1445</v>
      </c>
      <c r="G47" s="4" t="s">
        <v>506</v>
      </c>
      <c r="H47" s="4" t="s">
        <v>503</v>
      </c>
      <c r="I47" s="4" t="s">
        <v>1357</v>
      </c>
      <c r="J47" s="4" t="s">
        <v>1407</v>
      </c>
      <c r="K47" s="4" t="s">
        <v>1359</v>
      </c>
      <c r="L47" s="5" t="s">
        <v>504</v>
      </c>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507</v>
      </c>
      <c r="C48" s="6" t="s">
        <v>508</v>
      </c>
      <c r="D48" s="6" t="s">
        <v>462</v>
      </c>
      <c r="E48" s="6" t="s">
        <v>1446</v>
      </c>
      <c r="F48" s="6" t="s">
        <v>1447</v>
      </c>
      <c r="G48" s="6" t="s">
        <v>511</v>
      </c>
      <c r="H48" s="6" t="s">
        <v>508</v>
      </c>
      <c r="I48" s="6" t="s">
        <v>1357</v>
      </c>
      <c r="J48" s="6" t="s">
        <v>1407</v>
      </c>
      <c r="K48" s="6" t="s">
        <v>1359</v>
      </c>
      <c r="L48" s="7" t="s">
        <v>509</v>
      </c>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512</v>
      </c>
      <c r="C49" s="4" t="s">
        <v>513</v>
      </c>
      <c r="D49" s="4" t="s">
        <v>352</v>
      </c>
      <c r="E49" s="4" t="s">
        <v>1448</v>
      </c>
      <c r="F49" s="4" t="s">
        <v>1449</v>
      </c>
      <c r="G49" s="4" t="s">
        <v>516</v>
      </c>
      <c r="H49" s="4" t="s">
        <v>513</v>
      </c>
      <c r="I49" s="4" t="s">
        <v>1357</v>
      </c>
      <c r="J49" s="4" t="s">
        <v>1407</v>
      </c>
      <c r="K49" s="4" t="s">
        <v>1359</v>
      </c>
      <c r="L49" s="5" t="s">
        <v>514</v>
      </c>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517</v>
      </c>
      <c r="C50" s="6" t="s">
        <v>518</v>
      </c>
      <c r="D50" s="6" t="s">
        <v>352</v>
      </c>
      <c r="E50" s="6" t="s">
        <v>1450</v>
      </c>
      <c r="F50" s="6" t="s">
        <v>1451</v>
      </c>
      <c r="G50" s="6" t="s">
        <v>521</v>
      </c>
      <c r="H50" s="6" t="s">
        <v>518</v>
      </c>
      <c r="I50" s="6" t="s">
        <v>1357</v>
      </c>
      <c r="J50" s="6" t="s">
        <v>1407</v>
      </c>
      <c r="K50" s="6" t="s">
        <v>1359</v>
      </c>
      <c r="L50" s="7" t="s">
        <v>519</v>
      </c>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522</v>
      </c>
      <c r="C51" s="4" t="s">
        <v>523</v>
      </c>
      <c r="D51" s="4" t="s">
        <v>276</v>
      </c>
      <c r="E51" s="4" t="s">
        <v>1452</v>
      </c>
      <c r="F51" s="4" t="s">
        <v>1453</v>
      </c>
      <c r="G51" s="4" t="s">
        <v>526</v>
      </c>
      <c r="H51" s="4" t="s">
        <v>523</v>
      </c>
      <c r="I51" s="4" t="s">
        <v>1357</v>
      </c>
      <c r="J51" s="4" t="s">
        <v>1407</v>
      </c>
      <c r="K51" s="4" t="s">
        <v>1359</v>
      </c>
      <c r="L51" s="5" t="s">
        <v>524</v>
      </c>
      <c r="M51" s="4"/>
      <c r="N51" s="4"/>
      <c r="O51" s="4"/>
      <c r="P51" s="4"/>
      <c r="Q51" s="4"/>
      <c r="R51" s="4"/>
      <c r="S51" s="4"/>
      <c r="T51" s="4"/>
      <c r="U51" s="4"/>
      <c r="V51" s="4"/>
      <c r="W51" s="4"/>
      <c r="X51" s="4"/>
      <c r="Y51" s="4"/>
      <c r="Z51" s="4"/>
      <c r="AA51" s="4"/>
      <c r="AB51" s="4"/>
      <c r="AC51" s="4"/>
      <c r="AD51" s="4"/>
      <c r="AE51" s="4"/>
      <c r="AF51" s="4"/>
      <c r="AG51" s="4"/>
      <c r="AH51" s="4"/>
      <c r="AI51" s="4"/>
    </row>
  </sheetData>
  <hyperlinks>
    <hyperlink ref="A1" r:id="rId1" location="#'P-00 INDEX'!A1"/>
    <hyperlink ref="B1" r:id="rId2" location="#'P-Utilities'!A1"/>
    <hyperlink ref="L5" r:id="rId3"/>
    <hyperlink ref="L6" r:id="rId4"/>
    <hyperlink ref="L7" r:id="rId5"/>
    <hyperlink ref="L8" r:id="rId6"/>
    <hyperlink ref="L9" r:id="rId7"/>
    <hyperlink ref="L10" r:id="rId8"/>
    <hyperlink ref="L11" r:id="rId9"/>
    <hyperlink ref="L12" r:id="rId10"/>
    <hyperlink ref="L13" r:id="rId11"/>
    <hyperlink ref="L14" r:id="rId12"/>
    <hyperlink ref="L15" r:id="rId13"/>
    <hyperlink ref="L16" r:id="rId14"/>
    <hyperlink ref="L17" r:id="rId15"/>
    <hyperlink ref="L18" r:id="rId16"/>
    <hyperlink ref="L19" r:id="rId17"/>
    <hyperlink ref="L20" r:id="rId18"/>
    <hyperlink ref="L21" r:id="rId19"/>
    <hyperlink ref="L22" r:id="rId20"/>
    <hyperlink ref="L23" r:id="rId21"/>
    <hyperlink ref="L24" r:id="rId22"/>
    <hyperlink ref="L25" r:id="rId23"/>
    <hyperlink ref="L26" r:id="rId24"/>
    <hyperlink ref="L27" r:id="rId25"/>
    <hyperlink ref="L28" r:id="rId26"/>
    <hyperlink ref="L29" r:id="rId27"/>
    <hyperlink ref="L30" r:id="rId28"/>
    <hyperlink ref="L31" r:id="rId29"/>
    <hyperlink ref="L32" r:id="rId30"/>
    <hyperlink ref="L33" r:id="rId31"/>
    <hyperlink ref="L34" r:id="rId32"/>
    <hyperlink ref="L35" r:id="rId33"/>
    <hyperlink ref="L36" r:id="rId34"/>
    <hyperlink ref="L37" r:id="rId35"/>
    <hyperlink ref="L38" r:id="rId36"/>
    <hyperlink ref="L39" r:id="rId37"/>
    <hyperlink ref="L40" r:id="rId38"/>
    <hyperlink ref="L41" r:id="rId39"/>
    <hyperlink ref="L42" r:id="rId40"/>
    <hyperlink ref="L43" r:id="rId41"/>
    <hyperlink ref="L44" r:id="rId42"/>
    <hyperlink ref="L45" r:id="rId43"/>
    <hyperlink ref="L46" r:id="rId44"/>
    <hyperlink ref="L47" r:id="rId45"/>
    <hyperlink ref="L48" r:id="rId46"/>
    <hyperlink ref="L49" r:id="rId47"/>
    <hyperlink ref="L50" r:id="rId48"/>
    <hyperlink ref="L51" r:id="rId49"/>
  </hyperlink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1"/>
  <sheetViews>
    <sheetView workbookViewId="0"/>
  </sheetViews>
  <sheetFormatPr defaultRowHeight="15" outlineLevelRow="0" outlineLevelCol="0" x14ac:dyDescent="55"/>
  <cols>
    <col min="1" max="1" width="63" customWidth="1"/>
    <col min="2" max="2" width="33" customWidth="1"/>
    <col min="3" max="3" width="57" customWidth="1"/>
    <col min="4" max="4" width="34" customWidth="1"/>
    <col min="5" max="5" width="63" customWidth="1"/>
    <col min="6" max="6" width="43" customWidth="1"/>
    <col min="7" max="7" width="63" customWidth="1"/>
    <col min="8" max="8" width="45" customWidth="1"/>
    <col min="9" max="9" width="63" customWidth="1"/>
    <col min="10" max="10" width="21" customWidth="1"/>
    <col min="11" max="35" width="15" customWidth="1"/>
  </cols>
  <sheetData>
    <row r="1" ht="24" customHeight="1" spans="1:35" x14ac:dyDescent="0.25">
      <c r="A1" s="8" t="s">
        <v>117</v>
      </c>
      <c r="B1" s="8" t="s">
        <v>812</v>
      </c>
    </row>
    <row r="2" spans="1:35" x14ac:dyDescent="0.25">
      <c r="A2" s="1" t="s">
        <v>1454</v>
      </c>
    </row>
    <row r="4" ht="26" customHeight="1" spans="1:35" s="11" customFormat="1" x14ac:dyDescent="0.25">
      <c r="A4" s="11" t="s">
        <v>2</v>
      </c>
      <c r="B4" s="11" t="s">
        <v>254</v>
      </c>
      <c r="C4" s="11" t="s">
        <v>255</v>
      </c>
      <c r="D4" s="11" t="s">
        <v>1455</v>
      </c>
      <c r="E4" s="11" t="s">
        <v>1456</v>
      </c>
      <c r="F4" s="11" t="s">
        <v>1457</v>
      </c>
      <c r="G4" s="11" t="s">
        <v>1458</v>
      </c>
      <c r="H4" s="11" t="s">
        <v>1459</v>
      </c>
      <c r="I4" s="11" t="s">
        <v>1460</v>
      </c>
      <c r="J4" s="11" t="s">
        <v>1461</v>
      </c>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274</v>
      </c>
      <c r="C5" s="4" t="s">
        <v>275</v>
      </c>
      <c r="D5" s="4" t="s">
        <v>1462</v>
      </c>
      <c r="E5" s="4" t="s">
        <v>1463</v>
      </c>
      <c r="F5" s="4" t="s">
        <v>1464</v>
      </c>
      <c r="G5" s="4" t="s">
        <v>1465</v>
      </c>
      <c r="H5" s="4" t="s">
        <v>1466</v>
      </c>
      <c r="I5" s="4" t="s">
        <v>1467</v>
      </c>
      <c r="J5" s="12" t="s">
        <v>1468</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289</v>
      </c>
      <c r="C6" s="6" t="s">
        <v>290</v>
      </c>
      <c r="D6" s="6" t="s">
        <v>1462</v>
      </c>
      <c r="E6" s="6" t="s">
        <v>1469</v>
      </c>
      <c r="F6" s="6" t="s">
        <v>1464</v>
      </c>
      <c r="G6" s="6" t="s">
        <v>1465</v>
      </c>
      <c r="H6" s="6" t="s">
        <v>1470</v>
      </c>
      <c r="I6" s="6" t="s">
        <v>1471</v>
      </c>
      <c r="J6" s="13" t="s">
        <v>1468</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294</v>
      </c>
      <c r="C7" s="4" t="s">
        <v>295</v>
      </c>
      <c r="D7" s="4" t="s">
        <v>1462</v>
      </c>
      <c r="E7" s="4" t="s">
        <v>1472</v>
      </c>
      <c r="F7" s="4" t="s">
        <v>1464</v>
      </c>
      <c r="G7" s="4" t="s">
        <v>1465</v>
      </c>
      <c r="H7" s="4" t="s">
        <v>1470</v>
      </c>
      <c r="I7" s="4" t="s">
        <v>1473</v>
      </c>
      <c r="J7" s="12" t="s">
        <v>1468</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299</v>
      </c>
      <c r="C8" s="6" t="s">
        <v>300</v>
      </c>
      <c r="D8" s="6" t="s">
        <v>1462</v>
      </c>
      <c r="E8" s="6" t="s">
        <v>1474</v>
      </c>
      <c r="F8" s="6" t="s">
        <v>1464</v>
      </c>
      <c r="G8" s="6" t="s">
        <v>1465</v>
      </c>
      <c r="H8" s="6" t="s">
        <v>1470</v>
      </c>
      <c r="I8" s="6" t="s">
        <v>1475</v>
      </c>
      <c r="J8" s="13" t="s">
        <v>1468</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304</v>
      </c>
      <c r="C9" s="4" t="s">
        <v>305</v>
      </c>
      <c r="D9" s="4" t="s">
        <v>1462</v>
      </c>
      <c r="E9" s="4" t="s">
        <v>1476</v>
      </c>
      <c r="F9" s="4" t="s">
        <v>1464</v>
      </c>
      <c r="G9" s="4" t="s">
        <v>1465</v>
      </c>
      <c r="H9" s="4" t="s">
        <v>1470</v>
      </c>
      <c r="I9" s="4" t="s">
        <v>1477</v>
      </c>
      <c r="J9" s="12" t="s">
        <v>1468</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309</v>
      </c>
      <c r="C10" s="6" t="s">
        <v>310</v>
      </c>
      <c r="D10" s="6" t="s">
        <v>1462</v>
      </c>
      <c r="E10" s="6" t="s">
        <v>1463</v>
      </c>
      <c r="F10" s="6" t="s">
        <v>1464</v>
      </c>
      <c r="G10" s="6" t="s">
        <v>1465</v>
      </c>
      <c r="H10" s="6" t="s">
        <v>1466</v>
      </c>
      <c r="I10" s="6" t="s">
        <v>1478</v>
      </c>
      <c r="J10" s="13" t="s">
        <v>1468</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314</v>
      </c>
      <c r="C11" s="4" t="s">
        <v>315</v>
      </c>
      <c r="D11" s="4" t="s">
        <v>1462</v>
      </c>
      <c r="E11" s="4" t="s">
        <v>1476</v>
      </c>
      <c r="F11" s="4" t="s">
        <v>1464</v>
      </c>
      <c r="G11" s="4" t="s">
        <v>1465</v>
      </c>
      <c r="H11" s="4" t="s">
        <v>1470</v>
      </c>
      <c r="I11" s="4" t="s">
        <v>1479</v>
      </c>
      <c r="J11" s="12" t="s">
        <v>1468</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319</v>
      </c>
      <c r="C12" s="6" t="s">
        <v>320</v>
      </c>
      <c r="D12" s="6" t="s">
        <v>1462</v>
      </c>
      <c r="E12" s="6" t="s">
        <v>1480</v>
      </c>
      <c r="F12" s="6" t="s">
        <v>1464</v>
      </c>
      <c r="G12" s="6" t="s">
        <v>1465</v>
      </c>
      <c r="H12" s="6" t="s">
        <v>1470</v>
      </c>
      <c r="I12" s="6" t="s">
        <v>1481</v>
      </c>
      <c r="J12" s="13" t="s">
        <v>1468</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325</v>
      </c>
      <c r="C13" s="4" t="s">
        <v>326</v>
      </c>
      <c r="D13" s="4" t="s">
        <v>1462</v>
      </c>
      <c r="E13" s="4" t="s">
        <v>1482</v>
      </c>
      <c r="F13" s="4" t="s">
        <v>1464</v>
      </c>
      <c r="G13" s="4" t="s">
        <v>1465</v>
      </c>
      <c r="H13" s="4" t="s">
        <v>1470</v>
      </c>
      <c r="I13" s="4" t="s">
        <v>1483</v>
      </c>
      <c r="J13" s="12" t="s">
        <v>1468</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330</v>
      </c>
      <c r="C14" s="6" t="s">
        <v>331</v>
      </c>
      <c r="D14" s="6" t="s">
        <v>1462</v>
      </c>
      <c r="E14" s="6" t="s">
        <v>1484</v>
      </c>
      <c r="F14" s="6" t="s">
        <v>1464</v>
      </c>
      <c r="G14" s="6" t="s">
        <v>1465</v>
      </c>
      <c r="H14" s="6" t="s">
        <v>1470</v>
      </c>
      <c r="I14" s="6" t="s">
        <v>1485</v>
      </c>
      <c r="J14" s="13" t="s">
        <v>1468</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335</v>
      </c>
      <c r="C15" s="4" t="s">
        <v>336</v>
      </c>
      <c r="D15" s="4" t="s">
        <v>1462</v>
      </c>
      <c r="E15" s="4" t="s">
        <v>1486</v>
      </c>
      <c r="F15" s="4" t="s">
        <v>1464</v>
      </c>
      <c r="G15" s="4" t="s">
        <v>1465</v>
      </c>
      <c r="H15" s="4" t="s">
        <v>1470</v>
      </c>
      <c r="I15" s="4" t="s">
        <v>1487</v>
      </c>
      <c r="J15" s="12" t="s">
        <v>1468</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340</v>
      </c>
      <c r="C16" s="6" t="s">
        <v>341</v>
      </c>
      <c r="D16" s="6" t="s">
        <v>1462</v>
      </c>
      <c r="E16" s="6" t="s">
        <v>1488</v>
      </c>
      <c r="F16" s="6" t="s">
        <v>1464</v>
      </c>
      <c r="G16" s="6" t="s">
        <v>1465</v>
      </c>
      <c r="H16" s="6" t="s">
        <v>1470</v>
      </c>
      <c r="I16" s="6" t="s">
        <v>1489</v>
      </c>
      <c r="J16" s="13" t="s">
        <v>1468</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345</v>
      </c>
      <c r="C17" s="4" t="s">
        <v>346</v>
      </c>
      <c r="D17" s="4" t="s">
        <v>1462</v>
      </c>
      <c r="E17" s="4" t="s">
        <v>1476</v>
      </c>
      <c r="F17" s="4" t="s">
        <v>1464</v>
      </c>
      <c r="G17" s="4" t="s">
        <v>1465</v>
      </c>
      <c r="H17" s="4" t="s">
        <v>1470</v>
      </c>
      <c r="I17" s="4" t="s">
        <v>1490</v>
      </c>
      <c r="J17" s="12" t="s">
        <v>1468</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350</v>
      </c>
      <c r="C18" s="6" t="s">
        <v>351</v>
      </c>
      <c r="D18" s="6" t="s">
        <v>1462</v>
      </c>
      <c r="E18" s="6" t="s">
        <v>1476</v>
      </c>
      <c r="F18" s="6" t="s">
        <v>1464</v>
      </c>
      <c r="G18" s="6" t="s">
        <v>1465</v>
      </c>
      <c r="H18" s="6" t="s">
        <v>1470</v>
      </c>
      <c r="I18" s="6" t="s">
        <v>1491</v>
      </c>
      <c r="J18" s="13" t="s">
        <v>1468</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356</v>
      </c>
      <c r="C19" s="4" t="s">
        <v>357</v>
      </c>
      <c r="D19" s="4" t="s">
        <v>1462</v>
      </c>
      <c r="E19" s="4" t="s">
        <v>1476</v>
      </c>
      <c r="F19" s="4" t="s">
        <v>1464</v>
      </c>
      <c r="G19" s="4" t="s">
        <v>1465</v>
      </c>
      <c r="H19" s="4" t="s">
        <v>1470</v>
      </c>
      <c r="I19" s="4" t="s">
        <v>1492</v>
      </c>
      <c r="J19" s="12" t="s">
        <v>1468</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361</v>
      </c>
      <c r="C20" s="6" t="s">
        <v>362</v>
      </c>
      <c r="D20" s="6" t="s">
        <v>1462</v>
      </c>
      <c r="E20" s="6" t="s">
        <v>1493</v>
      </c>
      <c r="F20" s="6" t="s">
        <v>1464</v>
      </c>
      <c r="G20" s="6" t="s">
        <v>1465</v>
      </c>
      <c r="H20" s="6" t="s">
        <v>1470</v>
      </c>
      <c r="I20" s="6" t="s">
        <v>1494</v>
      </c>
      <c r="J20" s="13" t="s">
        <v>1468</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366</v>
      </c>
      <c r="C21" s="4" t="s">
        <v>367</v>
      </c>
      <c r="D21" s="4" t="s">
        <v>1462</v>
      </c>
      <c r="E21" s="4" t="s">
        <v>1495</v>
      </c>
      <c r="F21" s="4" t="s">
        <v>1464</v>
      </c>
      <c r="G21" s="4" t="s">
        <v>1465</v>
      </c>
      <c r="H21" s="4" t="s">
        <v>1470</v>
      </c>
      <c r="I21" s="4" t="s">
        <v>1496</v>
      </c>
      <c r="J21" s="12" t="s">
        <v>1468</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371</v>
      </c>
      <c r="C22" s="6" t="s">
        <v>372</v>
      </c>
      <c r="D22" s="6" t="s">
        <v>1462</v>
      </c>
      <c r="E22" s="6" t="s">
        <v>1497</v>
      </c>
      <c r="F22" s="6" t="s">
        <v>1464</v>
      </c>
      <c r="G22" s="6" t="s">
        <v>1465</v>
      </c>
      <c r="H22" s="6" t="s">
        <v>1466</v>
      </c>
      <c r="I22" s="6" t="s">
        <v>1498</v>
      </c>
      <c r="J22" s="13" t="s">
        <v>1468</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376</v>
      </c>
      <c r="C23" s="4" t="s">
        <v>377</v>
      </c>
      <c r="D23" s="4" t="s">
        <v>1462</v>
      </c>
      <c r="E23" s="4" t="s">
        <v>1499</v>
      </c>
      <c r="F23" s="4" t="s">
        <v>1464</v>
      </c>
      <c r="G23" s="4" t="s">
        <v>1465</v>
      </c>
      <c r="H23" s="4" t="s">
        <v>1470</v>
      </c>
      <c r="I23" s="4" t="s">
        <v>1500</v>
      </c>
      <c r="J23" s="12" t="s">
        <v>1468</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381</v>
      </c>
      <c r="C24" s="6" t="s">
        <v>382</v>
      </c>
      <c r="D24" s="6" t="s">
        <v>1462</v>
      </c>
      <c r="E24" s="6" t="s">
        <v>1476</v>
      </c>
      <c r="F24" s="6" t="s">
        <v>1464</v>
      </c>
      <c r="G24" s="6" t="s">
        <v>1465</v>
      </c>
      <c r="H24" s="6" t="s">
        <v>1470</v>
      </c>
      <c r="I24" s="6" t="s">
        <v>1501</v>
      </c>
      <c r="J24" s="13" t="s">
        <v>1468</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386</v>
      </c>
      <c r="C25" s="4" t="s">
        <v>387</v>
      </c>
      <c r="D25" s="4" t="s">
        <v>1462</v>
      </c>
      <c r="E25" s="4" t="s">
        <v>1502</v>
      </c>
      <c r="F25" s="4" t="s">
        <v>1464</v>
      </c>
      <c r="G25" s="4" t="s">
        <v>1465</v>
      </c>
      <c r="H25" s="4" t="s">
        <v>1470</v>
      </c>
      <c r="I25" s="4" t="s">
        <v>1503</v>
      </c>
      <c r="J25" s="12" t="s">
        <v>1468</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391</v>
      </c>
      <c r="C26" s="6" t="s">
        <v>392</v>
      </c>
      <c r="D26" s="6" t="s">
        <v>1462</v>
      </c>
      <c r="E26" s="6" t="s">
        <v>1504</v>
      </c>
      <c r="F26" s="6" t="s">
        <v>1464</v>
      </c>
      <c r="G26" s="6" t="s">
        <v>1465</v>
      </c>
      <c r="H26" s="6" t="s">
        <v>1470</v>
      </c>
      <c r="I26" s="6" t="s">
        <v>1505</v>
      </c>
      <c r="J26" s="13" t="s">
        <v>1468</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397</v>
      </c>
      <c r="C27" s="4" t="s">
        <v>398</v>
      </c>
      <c r="D27" s="4" t="s">
        <v>1462</v>
      </c>
      <c r="E27" s="4" t="s">
        <v>1506</v>
      </c>
      <c r="F27" s="4" t="s">
        <v>1464</v>
      </c>
      <c r="G27" s="4" t="s">
        <v>1465</v>
      </c>
      <c r="H27" s="4" t="s">
        <v>1470</v>
      </c>
      <c r="I27" s="4" t="s">
        <v>1507</v>
      </c>
      <c r="J27" s="12" t="s">
        <v>1468</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402</v>
      </c>
      <c r="C28" s="6" t="s">
        <v>403</v>
      </c>
      <c r="D28" s="6" t="s">
        <v>1462</v>
      </c>
      <c r="E28" s="6" t="s">
        <v>1476</v>
      </c>
      <c r="F28" s="6" t="s">
        <v>1464</v>
      </c>
      <c r="G28" s="6" t="s">
        <v>1465</v>
      </c>
      <c r="H28" s="6" t="s">
        <v>1470</v>
      </c>
      <c r="I28" s="6" t="s">
        <v>1508</v>
      </c>
      <c r="J28" s="13" t="s">
        <v>1468</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407</v>
      </c>
      <c r="C29" s="4" t="s">
        <v>408</v>
      </c>
      <c r="D29" s="4" t="s">
        <v>1462</v>
      </c>
      <c r="E29" s="4" t="s">
        <v>1509</v>
      </c>
      <c r="F29" s="4" t="s">
        <v>1464</v>
      </c>
      <c r="G29" s="4" t="s">
        <v>1465</v>
      </c>
      <c r="H29" s="4" t="s">
        <v>1470</v>
      </c>
      <c r="I29" s="4" t="s">
        <v>1510</v>
      </c>
      <c r="J29" s="12" t="s">
        <v>1468</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412</v>
      </c>
      <c r="C30" s="6" t="s">
        <v>413</v>
      </c>
      <c r="D30" s="6" t="s">
        <v>1462</v>
      </c>
      <c r="E30" s="6" t="s">
        <v>1511</v>
      </c>
      <c r="F30" s="6" t="s">
        <v>1464</v>
      </c>
      <c r="G30" s="6" t="s">
        <v>1465</v>
      </c>
      <c r="H30" s="6" t="s">
        <v>1470</v>
      </c>
      <c r="I30" s="6" t="s">
        <v>1512</v>
      </c>
      <c r="J30" s="13" t="s">
        <v>1468</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418</v>
      </c>
      <c r="C31" s="4" t="s">
        <v>419</v>
      </c>
      <c r="D31" s="4" t="s">
        <v>1462</v>
      </c>
      <c r="E31" s="4" t="s">
        <v>1513</v>
      </c>
      <c r="F31" s="4" t="s">
        <v>1464</v>
      </c>
      <c r="G31" s="4" t="s">
        <v>1465</v>
      </c>
      <c r="H31" s="4" t="s">
        <v>1470</v>
      </c>
      <c r="I31" s="4" t="s">
        <v>1514</v>
      </c>
      <c r="J31" s="12" t="s">
        <v>1468</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423</v>
      </c>
      <c r="C32" s="6" t="s">
        <v>424</v>
      </c>
      <c r="D32" s="6" t="s">
        <v>1462</v>
      </c>
      <c r="E32" s="6" t="s">
        <v>1515</v>
      </c>
      <c r="F32" s="6" t="s">
        <v>1464</v>
      </c>
      <c r="G32" s="6" t="s">
        <v>1465</v>
      </c>
      <c r="H32" s="6" t="s">
        <v>1470</v>
      </c>
      <c r="I32" s="6" t="s">
        <v>1516</v>
      </c>
      <c r="J32" s="13" t="s">
        <v>1468</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428</v>
      </c>
      <c r="C33" s="4" t="s">
        <v>429</v>
      </c>
      <c r="D33" s="4" t="s">
        <v>1462</v>
      </c>
      <c r="E33" s="4" t="s">
        <v>1476</v>
      </c>
      <c r="F33" s="4" t="s">
        <v>1464</v>
      </c>
      <c r="G33" s="4" t="s">
        <v>1465</v>
      </c>
      <c r="H33" s="4" t="s">
        <v>1470</v>
      </c>
      <c r="I33" s="4" t="s">
        <v>1517</v>
      </c>
      <c r="J33" s="12" t="s">
        <v>1468</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433</v>
      </c>
      <c r="C34" s="6" t="s">
        <v>434</v>
      </c>
      <c r="D34" s="6" t="s">
        <v>1462</v>
      </c>
      <c r="E34" s="6" t="s">
        <v>1518</v>
      </c>
      <c r="F34" s="6" t="s">
        <v>1464</v>
      </c>
      <c r="G34" s="6" t="s">
        <v>1465</v>
      </c>
      <c r="H34" s="6" t="s">
        <v>1470</v>
      </c>
      <c r="I34" s="6" t="s">
        <v>1519</v>
      </c>
      <c r="J34" s="13" t="s">
        <v>1468</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439</v>
      </c>
      <c r="C35" s="4" t="s">
        <v>440</v>
      </c>
      <c r="D35" s="4" t="s">
        <v>1462</v>
      </c>
      <c r="E35" s="4" t="s">
        <v>1520</v>
      </c>
      <c r="F35" s="4" t="s">
        <v>1464</v>
      </c>
      <c r="G35" s="4" t="s">
        <v>1465</v>
      </c>
      <c r="H35" s="4" t="s">
        <v>1470</v>
      </c>
      <c r="I35" s="4" t="s">
        <v>1521</v>
      </c>
      <c r="J35" s="12" t="s">
        <v>1468</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444</v>
      </c>
      <c r="C36" s="6" t="s">
        <v>445</v>
      </c>
      <c r="D36" s="6" t="s">
        <v>1462</v>
      </c>
      <c r="E36" s="6" t="s">
        <v>1522</v>
      </c>
      <c r="F36" s="6" t="s">
        <v>1464</v>
      </c>
      <c r="G36" s="6" t="s">
        <v>1465</v>
      </c>
      <c r="H36" s="6" t="s">
        <v>1470</v>
      </c>
      <c r="I36" s="6" t="s">
        <v>1523</v>
      </c>
      <c r="J36" s="13" t="s">
        <v>1468</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449</v>
      </c>
      <c r="C37" s="4" t="s">
        <v>450</v>
      </c>
      <c r="D37" s="4" t="s">
        <v>1462</v>
      </c>
      <c r="E37" s="4" t="s">
        <v>1476</v>
      </c>
      <c r="F37" s="4" t="s">
        <v>1464</v>
      </c>
      <c r="G37" s="4" t="s">
        <v>1465</v>
      </c>
      <c r="H37" s="4" t="s">
        <v>1470</v>
      </c>
      <c r="I37" s="4" t="s">
        <v>1524</v>
      </c>
      <c r="J37" s="12" t="s">
        <v>1468</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455</v>
      </c>
      <c r="C38" s="6" t="s">
        <v>456</v>
      </c>
      <c r="D38" s="6" t="s">
        <v>1462</v>
      </c>
      <c r="E38" s="6" t="s">
        <v>1525</v>
      </c>
      <c r="F38" s="6" t="s">
        <v>1464</v>
      </c>
      <c r="G38" s="6" t="s">
        <v>1465</v>
      </c>
      <c r="H38" s="6" t="s">
        <v>1470</v>
      </c>
      <c r="I38" s="6" t="s">
        <v>1526</v>
      </c>
      <c r="J38" s="13" t="s">
        <v>1468</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460</v>
      </c>
      <c r="C39" s="4" t="s">
        <v>461</v>
      </c>
      <c r="D39" s="4" t="s">
        <v>1462</v>
      </c>
      <c r="E39" s="4" t="s">
        <v>1527</v>
      </c>
      <c r="F39" s="4" t="s">
        <v>1464</v>
      </c>
      <c r="G39" s="4" t="s">
        <v>1465</v>
      </c>
      <c r="H39" s="4" t="s">
        <v>1470</v>
      </c>
      <c r="I39" s="4" t="s">
        <v>1528</v>
      </c>
      <c r="J39" s="12" t="s">
        <v>1468</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466</v>
      </c>
      <c r="C40" s="6" t="s">
        <v>467</v>
      </c>
      <c r="D40" s="6" t="s">
        <v>1462</v>
      </c>
      <c r="E40" s="6" t="s">
        <v>1476</v>
      </c>
      <c r="F40" s="6" t="s">
        <v>1464</v>
      </c>
      <c r="G40" s="6" t="s">
        <v>1465</v>
      </c>
      <c r="H40" s="6" t="s">
        <v>1470</v>
      </c>
      <c r="I40" s="6" t="s">
        <v>1529</v>
      </c>
      <c r="J40" s="13" t="s">
        <v>1468</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471</v>
      </c>
      <c r="C41" s="4" t="s">
        <v>472</v>
      </c>
      <c r="D41" s="4" t="s">
        <v>1462</v>
      </c>
      <c r="E41" s="4" t="s">
        <v>1530</v>
      </c>
      <c r="F41" s="4" t="s">
        <v>1464</v>
      </c>
      <c r="G41" s="4" t="s">
        <v>1465</v>
      </c>
      <c r="H41" s="4" t="s">
        <v>1470</v>
      </c>
      <c r="I41" s="4" t="s">
        <v>1531</v>
      </c>
      <c r="J41" s="12" t="s">
        <v>1468</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477</v>
      </c>
      <c r="C42" s="6" t="s">
        <v>478</v>
      </c>
      <c r="D42" s="6" t="s">
        <v>1462</v>
      </c>
      <c r="E42" s="6" t="s">
        <v>1476</v>
      </c>
      <c r="F42" s="6" t="s">
        <v>1464</v>
      </c>
      <c r="G42" s="6" t="s">
        <v>1465</v>
      </c>
      <c r="H42" s="6" t="s">
        <v>1470</v>
      </c>
      <c r="I42" s="6" t="s">
        <v>1532</v>
      </c>
      <c r="J42" s="13" t="s">
        <v>1468</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482</v>
      </c>
      <c r="C43" s="4" t="s">
        <v>483</v>
      </c>
      <c r="D43" s="4" t="s">
        <v>1462</v>
      </c>
      <c r="E43" s="4" t="s">
        <v>1533</v>
      </c>
      <c r="F43" s="4" t="s">
        <v>1464</v>
      </c>
      <c r="G43" s="4" t="s">
        <v>1465</v>
      </c>
      <c r="H43" s="4" t="s">
        <v>1470</v>
      </c>
      <c r="I43" s="4" t="s">
        <v>1534</v>
      </c>
      <c r="J43" s="12" t="s">
        <v>1468</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487</v>
      </c>
      <c r="C44" s="6" t="s">
        <v>488</v>
      </c>
      <c r="D44" s="6" t="s">
        <v>1462</v>
      </c>
      <c r="E44" s="6" t="s">
        <v>1535</v>
      </c>
      <c r="F44" s="6" t="s">
        <v>1464</v>
      </c>
      <c r="G44" s="6" t="s">
        <v>1465</v>
      </c>
      <c r="H44" s="6" t="s">
        <v>1470</v>
      </c>
      <c r="I44" s="6" t="s">
        <v>1536</v>
      </c>
      <c r="J44" s="13" t="s">
        <v>1468</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492</v>
      </c>
      <c r="C45" s="4" t="s">
        <v>493</v>
      </c>
      <c r="D45" s="4" t="s">
        <v>1462</v>
      </c>
      <c r="E45" s="4" t="s">
        <v>1537</v>
      </c>
      <c r="F45" s="4" t="s">
        <v>1464</v>
      </c>
      <c r="G45" s="4" t="s">
        <v>1465</v>
      </c>
      <c r="H45" s="4" t="s">
        <v>1470</v>
      </c>
      <c r="I45" s="4" t="s">
        <v>1538</v>
      </c>
      <c r="J45" s="12" t="s">
        <v>1468</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497</v>
      </c>
      <c r="C46" s="6" t="s">
        <v>498</v>
      </c>
      <c r="D46" s="6" t="s">
        <v>1462</v>
      </c>
      <c r="E46" s="6" t="s">
        <v>1539</v>
      </c>
      <c r="F46" s="6" t="s">
        <v>1464</v>
      </c>
      <c r="G46" s="6" t="s">
        <v>1465</v>
      </c>
      <c r="H46" s="6" t="s">
        <v>1470</v>
      </c>
      <c r="I46" s="6" t="s">
        <v>1540</v>
      </c>
      <c r="J46" s="13" t="s">
        <v>1468</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502</v>
      </c>
      <c r="C47" s="4" t="s">
        <v>503</v>
      </c>
      <c r="D47" s="4" t="s">
        <v>1462</v>
      </c>
      <c r="E47" s="4" t="s">
        <v>1541</v>
      </c>
      <c r="F47" s="4" t="s">
        <v>1464</v>
      </c>
      <c r="G47" s="4" t="s">
        <v>1465</v>
      </c>
      <c r="H47" s="4" t="s">
        <v>1470</v>
      </c>
      <c r="I47" s="4" t="s">
        <v>1542</v>
      </c>
      <c r="J47" s="12" t="s">
        <v>1468</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507</v>
      </c>
      <c r="C48" s="6" t="s">
        <v>508</v>
      </c>
      <c r="D48" s="6" t="s">
        <v>1462</v>
      </c>
      <c r="E48" s="6" t="s">
        <v>1543</v>
      </c>
      <c r="F48" s="6" t="s">
        <v>1464</v>
      </c>
      <c r="G48" s="6" t="s">
        <v>1465</v>
      </c>
      <c r="H48" s="6" t="s">
        <v>1470</v>
      </c>
      <c r="I48" s="6" t="s">
        <v>1544</v>
      </c>
      <c r="J48" s="13" t="s">
        <v>1468</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512</v>
      </c>
      <c r="C49" s="4" t="s">
        <v>513</v>
      </c>
      <c r="D49" s="4" t="s">
        <v>1462</v>
      </c>
      <c r="E49" s="4" t="s">
        <v>1545</v>
      </c>
      <c r="F49" s="4" t="s">
        <v>1464</v>
      </c>
      <c r="G49" s="4" t="s">
        <v>1465</v>
      </c>
      <c r="H49" s="4" t="s">
        <v>1470</v>
      </c>
      <c r="I49" s="4" t="s">
        <v>1546</v>
      </c>
      <c r="J49" s="12" t="s">
        <v>1468</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517</v>
      </c>
      <c r="C50" s="6" t="s">
        <v>518</v>
      </c>
      <c r="D50" s="6" t="s">
        <v>1462</v>
      </c>
      <c r="E50" s="6" t="s">
        <v>1547</v>
      </c>
      <c r="F50" s="6" t="s">
        <v>1464</v>
      </c>
      <c r="G50" s="6" t="s">
        <v>1465</v>
      </c>
      <c r="H50" s="6" t="s">
        <v>1466</v>
      </c>
      <c r="I50" s="6" t="s">
        <v>1548</v>
      </c>
      <c r="J50" s="13" t="s">
        <v>1468</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522</v>
      </c>
      <c r="C51" s="4" t="s">
        <v>523</v>
      </c>
      <c r="D51" s="4" t="s">
        <v>1462</v>
      </c>
      <c r="E51" s="4" t="s">
        <v>1549</v>
      </c>
      <c r="F51" s="4" t="s">
        <v>1464</v>
      </c>
      <c r="G51" s="4" t="s">
        <v>1465</v>
      </c>
      <c r="H51" s="4" t="s">
        <v>1470</v>
      </c>
      <c r="I51" s="4" t="s">
        <v>1550</v>
      </c>
      <c r="J51" s="12" t="s">
        <v>1468</v>
      </c>
      <c r="K51" s="4"/>
      <c r="L51" s="4"/>
      <c r="M51" s="4"/>
      <c r="N51" s="4"/>
      <c r="O51" s="4"/>
      <c r="P51" s="4"/>
      <c r="Q51" s="4"/>
      <c r="R51" s="4"/>
      <c r="S51" s="4"/>
      <c r="T51" s="4"/>
      <c r="U51" s="4"/>
      <c r="V51" s="4"/>
      <c r="W51" s="4"/>
      <c r="X51" s="4"/>
      <c r="Y51" s="4"/>
      <c r="Z51" s="4"/>
      <c r="AA51" s="4"/>
      <c r="AB51" s="4"/>
      <c r="AC51" s="4"/>
      <c r="AD51" s="4"/>
      <c r="AE51" s="4"/>
      <c r="AF51" s="4"/>
      <c r="AG51" s="4"/>
      <c r="AH51" s="4"/>
      <c r="AI51"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2"/>
  <sheetViews>
    <sheetView workbookViewId="0"/>
  </sheetViews>
  <sheetFormatPr defaultRowHeight="15" outlineLevelRow="0" outlineLevelCol="0" x14ac:dyDescent="55"/>
  <cols>
    <col min="1" max="1" width="63" customWidth="1"/>
    <col min="2" max="2" width="32" customWidth="1"/>
    <col min="3" max="3" width="34" customWidth="1"/>
    <col min="4" max="5" width="15" customWidth="1"/>
    <col min="6" max="6" width="63" customWidth="1"/>
    <col min="7" max="7" width="42" customWidth="1"/>
    <col min="8" max="9" width="15" customWidth="1"/>
    <col min="10" max="10" width="54" customWidth="1"/>
    <col min="11" max="11" width="18" customWidth="1"/>
    <col min="12" max="35" width="15" customWidth="1"/>
  </cols>
  <sheetData>
    <row r="1" ht="24" customHeight="1" spans="1:35" x14ac:dyDescent="0.25">
      <c r="A1" s="8" t="s">
        <v>117</v>
      </c>
      <c r="B1" s="8" t="s">
        <v>1551</v>
      </c>
    </row>
    <row r="2" spans="1:35" x14ac:dyDescent="0.25">
      <c r="A2" s="1" t="s">
        <v>1552</v>
      </c>
    </row>
    <row r="4" ht="26" customHeight="1" spans="1:35" s="11" customFormat="1" x14ac:dyDescent="0.25">
      <c r="A4" s="11" t="s">
        <v>2</v>
      </c>
      <c r="B4" s="11" t="s">
        <v>1553</v>
      </c>
      <c r="C4" s="11" t="s">
        <v>255</v>
      </c>
      <c r="D4" s="11" t="s">
        <v>256</v>
      </c>
      <c r="E4" s="11" t="s">
        <v>531</v>
      </c>
      <c r="F4" s="11" t="s">
        <v>1554</v>
      </c>
      <c r="G4" s="11" t="s">
        <v>261</v>
      </c>
      <c r="H4" s="11" t="s">
        <v>1555</v>
      </c>
      <c r="I4" s="11" t="s">
        <v>1556</v>
      </c>
      <c r="J4" s="11" t="s">
        <v>1557</v>
      </c>
      <c r="K4" s="11" t="s">
        <v>260</v>
      </c>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1558</v>
      </c>
      <c r="C5" s="4" t="s">
        <v>1559</v>
      </c>
      <c r="D5" s="4" t="s">
        <v>352</v>
      </c>
      <c r="E5" s="15" t="s">
        <v>1560</v>
      </c>
      <c r="F5" s="4" t="s">
        <v>1561</v>
      </c>
      <c r="G5" s="4" t="s">
        <v>1562</v>
      </c>
      <c r="H5" s="4" t="s">
        <v>1563</v>
      </c>
      <c r="I5" s="4" t="s">
        <v>1564</v>
      </c>
      <c r="J5" s="4" t="s">
        <v>1565</v>
      </c>
      <c r="K5" s="4" t="s">
        <v>1566</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1567</v>
      </c>
      <c r="C6" s="6" t="s">
        <v>1568</v>
      </c>
      <c r="D6" s="6" t="s">
        <v>352</v>
      </c>
      <c r="E6" s="16" t="s">
        <v>1560</v>
      </c>
      <c r="F6" s="6" t="s">
        <v>1569</v>
      </c>
      <c r="G6" s="6" t="s">
        <v>1570</v>
      </c>
      <c r="H6" s="6" t="s">
        <v>1571</v>
      </c>
      <c r="I6" s="6" t="s">
        <v>1564</v>
      </c>
      <c r="J6" s="6" t="s">
        <v>1572</v>
      </c>
      <c r="K6" s="6" t="s">
        <v>1566</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1573</v>
      </c>
      <c r="C7" s="4" t="s">
        <v>1574</v>
      </c>
      <c r="D7" s="4" t="s">
        <v>435</v>
      </c>
      <c r="E7" s="15" t="s">
        <v>1560</v>
      </c>
      <c r="F7" s="4" t="s">
        <v>1575</v>
      </c>
      <c r="G7" s="4" t="s">
        <v>1576</v>
      </c>
      <c r="H7" s="4" t="s">
        <v>1571</v>
      </c>
      <c r="I7" s="4" t="s">
        <v>1564</v>
      </c>
      <c r="J7" s="4" t="s">
        <v>1577</v>
      </c>
      <c r="K7" s="4" t="s">
        <v>1566</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1578</v>
      </c>
      <c r="C8" s="6" t="s">
        <v>1579</v>
      </c>
      <c r="D8" s="6" t="s">
        <v>414</v>
      </c>
      <c r="E8" s="16" t="s">
        <v>1560</v>
      </c>
      <c r="F8" s="6" t="s">
        <v>1580</v>
      </c>
      <c r="G8" s="6" t="s">
        <v>1581</v>
      </c>
      <c r="H8" s="6" t="s">
        <v>1571</v>
      </c>
      <c r="I8" s="6" t="s">
        <v>1564</v>
      </c>
      <c r="J8" s="6" t="s">
        <v>1582</v>
      </c>
      <c r="K8" s="6" t="s">
        <v>1566</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1583</v>
      </c>
      <c r="C9" s="4" t="s">
        <v>1584</v>
      </c>
      <c r="D9" s="4" t="s">
        <v>393</v>
      </c>
      <c r="E9" s="15" t="s">
        <v>1560</v>
      </c>
      <c r="F9" s="4" t="s">
        <v>1585</v>
      </c>
      <c r="G9" s="4" t="s">
        <v>1586</v>
      </c>
      <c r="H9" s="4" t="s">
        <v>1563</v>
      </c>
      <c r="I9" s="4" t="s">
        <v>1571</v>
      </c>
      <c r="J9" s="4" t="s">
        <v>1587</v>
      </c>
      <c r="K9" s="4" t="s">
        <v>1566</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1588</v>
      </c>
      <c r="C10" s="6" t="s">
        <v>1589</v>
      </c>
      <c r="D10" s="6" t="s">
        <v>352</v>
      </c>
      <c r="E10" s="16" t="s">
        <v>1560</v>
      </c>
      <c r="F10" s="6" t="s">
        <v>1590</v>
      </c>
      <c r="G10" s="6" t="s">
        <v>1591</v>
      </c>
      <c r="H10" s="6" t="s">
        <v>1563</v>
      </c>
      <c r="I10" s="6" t="s">
        <v>1564</v>
      </c>
      <c r="J10" s="6" t="s">
        <v>1592</v>
      </c>
      <c r="K10" s="6" t="s">
        <v>1566</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1593</v>
      </c>
      <c r="C11" s="4" t="s">
        <v>1594</v>
      </c>
      <c r="D11" s="4" t="s">
        <v>414</v>
      </c>
      <c r="E11" s="15" t="s">
        <v>1560</v>
      </c>
      <c r="F11" s="4" t="s">
        <v>1595</v>
      </c>
      <c r="G11" s="4" t="s">
        <v>1596</v>
      </c>
      <c r="H11" s="4" t="s">
        <v>1571</v>
      </c>
      <c r="I11" s="4" t="s">
        <v>1564</v>
      </c>
      <c r="J11" s="4" t="s">
        <v>1597</v>
      </c>
      <c r="K11" s="4" t="s">
        <v>1566</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1598</v>
      </c>
      <c r="C12" s="6" t="s">
        <v>1599</v>
      </c>
      <c r="D12" s="6" t="s">
        <v>414</v>
      </c>
      <c r="E12" s="16" t="s">
        <v>1560</v>
      </c>
      <c r="F12" s="6" t="s">
        <v>1600</v>
      </c>
      <c r="G12" s="6" t="s">
        <v>1601</v>
      </c>
      <c r="H12" s="6" t="s">
        <v>1571</v>
      </c>
      <c r="I12" s="6" t="s">
        <v>1564</v>
      </c>
      <c r="J12" s="6" t="s">
        <v>1602</v>
      </c>
      <c r="K12" s="6" t="s">
        <v>1566</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1603</v>
      </c>
      <c r="C13" s="4" t="s">
        <v>1604</v>
      </c>
      <c r="D13" s="4" t="s">
        <v>462</v>
      </c>
      <c r="E13" s="15" t="s">
        <v>1560</v>
      </c>
      <c r="F13" s="4" t="s">
        <v>1605</v>
      </c>
      <c r="G13" s="4" t="s">
        <v>1606</v>
      </c>
      <c r="H13" s="4" t="s">
        <v>1563</v>
      </c>
      <c r="I13" s="4" t="s">
        <v>1564</v>
      </c>
      <c r="J13" s="4" t="s">
        <v>1607</v>
      </c>
      <c r="K13" s="4" t="s">
        <v>1566</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1608</v>
      </c>
      <c r="C14" s="6" t="s">
        <v>1609</v>
      </c>
      <c r="D14" s="6" t="s">
        <v>462</v>
      </c>
      <c r="E14" s="16" t="s">
        <v>1560</v>
      </c>
      <c r="F14" s="6" t="s">
        <v>1610</v>
      </c>
      <c r="G14" s="6" t="s">
        <v>1611</v>
      </c>
      <c r="H14" s="6" t="s">
        <v>1571</v>
      </c>
      <c r="I14" s="6" t="s">
        <v>1564</v>
      </c>
      <c r="J14" s="6" t="s">
        <v>1612</v>
      </c>
      <c r="K14" s="6" t="s">
        <v>1566</v>
      </c>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1613</v>
      </c>
      <c r="C15" s="4" t="s">
        <v>1614</v>
      </c>
      <c r="D15" s="4" t="s">
        <v>352</v>
      </c>
      <c r="E15" s="15" t="s">
        <v>1560</v>
      </c>
      <c r="F15" s="4" t="s">
        <v>1615</v>
      </c>
      <c r="G15" s="4" t="s">
        <v>1616</v>
      </c>
      <c r="H15" s="4" t="s">
        <v>1571</v>
      </c>
      <c r="I15" s="4" t="s">
        <v>1564</v>
      </c>
      <c r="J15" s="4" t="s">
        <v>1617</v>
      </c>
      <c r="K15" s="4" t="s">
        <v>1566</v>
      </c>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1618</v>
      </c>
      <c r="C16" s="6" t="s">
        <v>1619</v>
      </c>
      <c r="D16" s="6" t="s">
        <v>352</v>
      </c>
      <c r="E16" s="16" t="s">
        <v>1560</v>
      </c>
      <c r="F16" s="6" t="s">
        <v>1620</v>
      </c>
      <c r="G16" s="6" t="s">
        <v>1621</v>
      </c>
      <c r="H16" s="6" t="s">
        <v>1563</v>
      </c>
      <c r="I16" s="6" t="s">
        <v>1564</v>
      </c>
      <c r="J16" s="6" t="s">
        <v>1622</v>
      </c>
      <c r="K16" s="6" t="s">
        <v>1566</v>
      </c>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1623</v>
      </c>
      <c r="C17" s="4" t="s">
        <v>1624</v>
      </c>
      <c r="D17" s="4" t="s">
        <v>352</v>
      </c>
      <c r="E17" s="15" t="s">
        <v>1560</v>
      </c>
      <c r="F17" s="4" t="s">
        <v>1625</v>
      </c>
      <c r="G17" s="4" t="s">
        <v>1626</v>
      </c>
      <c r="H17" s="4" t="s">
        <v>1563</v>
      </c>
      <c r="I17" s="4" t="s">
        <v>1564</v>
      </c>
      <c r="J17" s="4" t="s">
        <v>1627</v>
      </c>
      <c r="K17" s="4" t="s">
        <v>1566</v>
      </c>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1628</v>
      </c>
      <c r="C18" s="6" t="s">
        <v>1629</v>
      </c>
      <c r="D18" s="6" t="s">
        <v>352</v>
      </c>
      <c r="E18" s="16" t="s">
        <v>1560</v>
      </c>
      <c r="F18" s="6" t="s">
        <v>1630</v>
      </c>
      <c r="G18" s="6" t="s">
        <v>1631</v>
      </c>
      <c r="H18" s="6" t="s">
        <v>1571</v>
      </c>
      <c r="I18" s="6" t="s">
        <v>1564</v>
      </c>
      <c r="J18" s="6" t="s">
        <v>1632</v>
      </c>
      <c r="K18" s="6" t="s">
        <v>1566</v>
      </c>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1633</v>
      </c>
      <c r="C19" s="4" t="s">
        <v>1634</v>
      </c>
      <c r="D19" s="4" t="s">
        <v>352</v>
      </c>
      <c r="E19" s="4" t="s">
        <v>1635</v>
      </c>
      <c r="F19" s="4" t="s">
        <v>1636</v>
      </c>
      <c r="G19" s="4" t="s">
        <v>1637</v>
      </c>
      <c r="H19" s="4" t="s">
        <v>1571</v>
      </c>
      <c r="I19" s="4" t="s">
        <v>1564</v>
      </c>
      <c r="J19" s="4" t="s">
        <v>1638</v>
      </c>
      <c r="K19" s="4" t="s">
        <v>1566</v>
      </c>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1639</v>
      </c>
      <c r="C20" s="6" t="s">
        <v>1640</v>
      </c>
      <c r="D20" s="6" t="s">
        <v>451</v>
      </c>
      <c r="E20" s="6" t="s">
        <v>1635</v>
      </c>
      <c r="F20" s="6" t="s">
        <v>1641</v>
      </c>
      <c r="G20" s="6" t="s">
        <v>1642</v>
      </c>
      <c r="H20" s="6" t="s">
        <v>1571</v>
      </c>
      <c r="I20" s="6" t="s">
        <v>1564</v>
      </c>
      <c r="J20" s="6" t="s">
        <v>1643</v>
      </c>
      <c r="K20" s="6" t="s">
        <v>1566</v>
      </c>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1644</v>
      </c>
      <c r="C21" s="4" t="s">
        <v>1645</v>
      </c>
      <c r="D21" s="4" t="s">
        <v>462</v>
      </c>
      <c r="E21" s="4" t="s">
        <v>1635</v>
      </c>
      <c r="F21" s="4" t="s">
        <v>1646</v>
      </c>
      <c r="G21" s="4" t="s">
        <v>1647</v>
      </c>
      <c r="H21" s="4" t="s">
        <v>1563</v>
      </c>
      <c r="I21" s="4" t="s">
        <v>1564</v>
      </c>
      <c r="J21" s="4" t="s">
        <v>1648</v>
      </c>
      <c r="K21" s="4" t="s">
        <v>1566</v>
      </c>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1649</v>
      </c>
      <c r="C22" s="6" t="s">
        <v>1650</v>
      </c>
      <c r="D22" s="6" t="s">
        <v>414</v>
      </c>
      <c r="E22" s="6" t="s">
        <v>1635</v>
      </c>
      <c r="F22" s="6" t="s">
        <v>1651</v>
      </c>
      <c r="G22" s="6" t="s">
        <v>1652</v>
      </c>
      <c r="H22" s="6" t="s">
        <v>1571</v>
      </c>
      <c r="I22" s="6" t="s">
        <v>1564</v>
      </c>
      <c r="J22" s="6" t="s">
        <v>1653</v>
      </c>
      <c r="K22" s="6" t="s">
        <v>1566</v>
      </c>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1654</v>
      </c>
      <c r="C23" s="4" t="s">
        <v>1655</v>
      </c>
      <c r="D23" s="4" t="s">
        <v>276</v>
      </c>
      <c r="E23" s="4" t="s">
        <v>1635</v>
      </c>
      <c r="F23" s="4" t="s">
        <v>1656</v>
      </c>
      <c r="G23" s="4" t="s">
        <v>1657</v>
      </c>
      <c r="H23" s="4" t="s">
        <v>1571</v>
      </c>
      <c r="I23" s="4" t="s">
        <v>1564</v>
      </c>
      <c r="J23" s="4" t="s">
        <v>1658</v>
      </c>
      <c r="K23" s="4" t="s">
        <v>1566</v>
      </c>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1659</v>
      </c>
      <c r="C24" s="6" t="s">
        <v>1660</v>
      </c>
      <c r="D24" s="6" t="s">
        <v>352</v>
      </c>
      <c r="E24" s="6" t="s">
        <v>1635</v>
      </c>
      <c r="F24" s="6" t="s">
        <v>1661</v>
      </c>
      <c r="G24" s="6" t="s">
        <v>1662</v>
      </c>
      <c r="H24" s="6" t="s">
        <v>1571</v>
      </c>
      <c r="I24" s="6" t="s">
        <v>1564</v>
      </c>
      <c r="J24" s="6" t="s">
        <v>1663</v>
      </c>
      <c r="K24" s="6" t="s">
        <v>1566</v>
      </c>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1664</v>
      </c>
      <c r="C25" s="4" t="s">
        <v>1665</v>
      </c>
      <c r="D25" s="4" t="s">
        <v>451</v>
      </c>
      <c r="E25" s="4" t="s">
        <v>1635</v>
      </c>
      <c r="F25" s="4" t="s">
        <v>1666</v>
      </c>
      <c r="G25" s="4" t="s">
        <v>1667</v>
      </c>
      <c r="H25" s="4" t="s">
        <v>1571</v>
      </c>
      <c r="I25" s="4" t="s">
        <v>1564</v>
      </c>
      <c r="J25" s="4" t="s">
        <v>1668</v>
      </c>
      <c r="K25" s="4" t="s">
        <v>1566</v>
      </c>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1669</v>
      </c>
      <c r="C26" s="6" t="s">
        <v>1670</v>
      </c>
      <c r="D26" s="6" t="s">
        <v>435</v>
      </c>
      <c r="E26" s="6" t="s">
        <v>1635</v>
      </c>
      <c r="F26" s="6" t="s">
        <v>1671</v>
      </c>
      <c r="G26" s="6" t="s">
        <v>1672</v>
      </c>
      <c r="H26" s="6" t="s">
        <v>1571</v>
      </c>
      <c r="I26" s="6" t="s">
        <v>1564</v>
      </c>
      <c r="J26" s="6" t="s">
        <v>1673</v>
      </c>
      <c r="K26" s="6" t="s">
        <v>1566</v>
      </c>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1674</v>
      </c>
      <c r="C27" s="4" t="s">
        <v>1675</v>
      </c>
      <c r="D27" s="4" t="s">
        <v>321</v>
      </c>
      <c r="E27" s="4" t="s">
        <v>1676</v>
      </c>
      <c r="F27" s="4" t="s">
        <v>1677</v>
      </c>
      <c r="G27" s="4" t="s">
        <v>1678</v>
      </c>
      <c r="H27" s="4" t="s">
        <v>1679</v>
      </c>
      <c r="I27" s="4" t="s">
        <v>1563</v>
      </c>
      <c r="J27" s="4" t="s">
        <v>1680</v>
      </c>
      <c r="K27" s="4" t="s">
        <v>1681</v>
      </c>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1682</v>
      </c>
      <c r="C28" s="6" t="s">
        <v>1683</v>
      </c>
      <c r="D28" s="6" t="s">
        <v>393</v>
      </c>
      <c r="E28" s="6" t="s">
        <v>1676</v>
      </c>
      <c r="F28" s="6" t="s">
        <v>1684</v>
      </c>
      <c r="G28" s="6" t="s">
        <v>1685</v>
      </c>
      <c r="H28" s="6" t="s">
        <v>1679</v>
      </c>
      <c r="I28" s="6" t="s">
        <v>1679</v>
      </c>
      <c r="J28" s="6" t="s">
        <v>1686</v>
      </c>
      <c r="K28" s="6" t="s">
        <v>1681</v>
      </c>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1687</v>
      </c>
      <c r="C29" s="4" t="s">
        <v>1688</v>
      </c>
      <c r="D29" s="4" t="s">
        <v>393</v>
      </c>
      <c r="E29" s="4" t="s">
        <v>1676</v>
      </c>
      <c r="F29" s="4" t="s">
        <v>1689</v>
      </c>
      <c r="G29" s="4" t="s">
        <v>1690</v>
      </c>
      <c r="H29" s="4" t="s">
        <v>1563</v>
      </c>
      <c r="I29" s="4" t="s">
        <v>1571</v>
      </c>
      <c r="J29" s="4" t="s">
        <v>1691</v>
      </c>
      <c r="K29" s="4" t="s">
        <v>1681</v>
      </c>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1692</v>
      </c>
      <c r="C30" s="6" t="s">
        <v>1693</v>
      </c>
      <c r="D30" s="6" t="s">
        <v>321</v>
      </c>
      <c r="E30" s="6" t="s">
        <v>1676</v>
      </c>
      <c r="F30" s="6" t="s">
        <v>1694</v>
      </c>
      <c r="G30" s="6" t="s">
        <v>1695</v>
      </c>
      <c r="H30" s="6" t="s">
        <v>1679</v>
      </c>
      <c r="I30" s="6" t="s">
        <v>1679</v>
      </c>
      <c r="J30" s="6" t="s">
        <v>1696</v>
      </c>
      <c r="K30" s="6" t="s">
        <v>1681</v>
      </c>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1697</v>
      </c>
      <c r="C31" s="4" t="s">
        <v>1698</v>
      </c>
      <c r="D31" s="4" t="s">
        <v>352</v>
      </c>
      <c r="E31" s="4" t="s">
        <v>1676</v>
      </c>
      <c r="F31" s="4" t="s">
        <v>1699</v>
      </c>
      <c r="G31" s="4" t="s">
        <v>1700</v>
      </c>
      <c r="H31" s="4" t="s">
        <v>1679</v>
      </c>
      <c r="I31" s="4" t="s">
        <v>1679</v>
      </c>
      <c r="J31" s="4" t="s">
        <v>1701</v>
      </c>
      <c r="K31" s="4" t="s">
        <v>1681</v>
      </c>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1702</v>
      </c>
      <c r="C32" s="6" t="s">
        <v>1703</v>
      </c>
      <c r="D32" s="6" t="s">
        <v>321</v>
      </c>
      <c r="E32" s="6" t="s">
        <v>1676</v>
      </c>
      <c r="F32" s="6" t="s">
        <v>1704</v>
      </c>
      <c r="G32" s="6" t="s">
        <v>1705</v>
      </c>
      <c r="H32" s="6" t="s">
        <v>1563</v>
      </c>
      <c r="I32" s="6" t="s">
        <v>1563</v>
      </c>
      <c r="J32" s="6" t="s">
        <v>1706</v>
      </c>
      <c r="K32" s="6" t="s">
        <v>1681</v>
      </c>
      <c r="L32" s="4"/>
      <c r="M32" s="4"/>
      <c r="N32" s="4"/>
      <c r="O32" s="4"/>
      <c r="P32" s="4"/>
      <c r="Q32" s="4"/>
      <c r="R32" s="4"/>
      <c r="S32" s="4"/>
      <c r="T32" s="4"/>
      <c r="U32" s="4"/>
      <c r="V32" s="4"/>
      <c r="W32" s="4"/>
      <c r="X32" s="4"/>
      <c r="Y32" s="4"/>
      <c r="Z32" s="4"/>
      <c r="AA32" s="4"/>
      <c r="AB32" s="4"/>
      <c r="AC32" s="4"/>
      <c r="AD32" s="4"/>
      <c r="AE32" s="4"/>
      <c r="AF32" s="4"/>
      <c r="AG32" s="4"/>
      <c r="AH32" s="4"/>
      <c r="AI3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32" customWidth="1"/>
    <col min="3" max="3" width="36" customWidth="1"/>
    <col min="4" max="4" width="17" customWidth="1"/>
    <col min="5" max="5" width="21" customWidth="1"/>
    <col min="6" max="6" width="47" customWidth="1"/>
    <col min="7" max="7" width="23" customWidth="1"/>
    <col min="8" max="8" width="16" customWidth="1"/>
    <col min="9" max="9" width="19" customWidth="1"/>
    <col min="10" max="10" width="25" customWidth="1"/>
    <col min="11" max="11" width="15" customWidth="1"/>
    <col min="12" max="13" width="63" customWidth="1"/>
    <col min="14" max="35" width="15" customWidth="1"/>
  </cols>
  <sheetData>
    <row r="1" ht="24" customHeight="1" spans="1:35" x14ac:dyDescent="0.25">
      <c r="A1" s="8" t="s">
        <v>117</v>
      </c>
      <c r="B1" s="8" t="s">
        <v>1551</v>
      </c>
    </row>
    <row r="2" spans="1:35" x14ac:dyDescent="0.25">
      <c r="A2" s="1" t="s">
        <v>1707</v>
      </c>
    </row>
    <row r="4" ht="26" customHeight="1" spans="1:35" s="11" customFormat="1" x14ac:dyDescent="0.25">
      <c r="A4" s="11" t="s">
        <v>2</v>
      </c>
      <c r="B4" s="11" t="s">
        <v>1708</v>
      </c>
      <c r="C4" s="11" t="s">
        <v>1709</v>
      </c>
      <c r="D4" s="11" t="s">
        <v>256</v>
      </c>
      <c r="E4" s="11" t="s">
        <v>1710</v>
      </c>
      <c r="F4" s="11" t="s">
        <v>1711</v>
      </c>
      <c r="G4" s="11" t="s">
        <v>1712</v>
      </c>
      <c r="H4" s="11" t="s">
        <v>1713</v>
      </c>
      <c r="I4" s="11" t="s">
        <v>1714</v>
      </c>
      <c r="J4" s="11" t="s">
        <v>1715</v>
      </c>
      <c r="K4" s="11" t="s">
        <v>267</v>
      </c>
      <c r="L4" s="11" t="s">
        <v>716</v>
      </c>
      <c r="M4" s="11" t="s">
        <v>1716</v>
      </c>
      <c r="N4" s="11" t="s">
        <v>1717</v>
      </c>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1718</v>
      </c>
      <c r="C5" s="4" t="s">
        <v>1719</v>
      </c>
      <c r="D5" s="4" t="s">
        <v>352</v>
      </c>
      <c r="E5" s="4" t="s">
        <v>1720</v>
      </c>
      <c r="F5" s="4" t="s">
        <v>1721</v>
      </c>
      <c r="G5" s="5" t="s">
        <v>1722</v>
      </c>
      <c r="H5" s="4" t="s">
        <v>285</v>
      </c>
      <c r="I5" s="4" t="s">
        <v>1723</v>
      </c>
      <c r="J5" s="4" t="s">
        <v>1724</v>
      </c>
      <c r="K5" s="4" t="s">
        <v>284</v>
      </c>
      <c r="L5" s="4" t="s">
        <v>1725</v>
      </c>
      <c r="M5" s="4" t="s">
        <v>1726</v>
      </c>
      <c r="N5" s="4" t="s">
        <v>285</v>
      </c>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1727</v>
      </c>
      <c r="C6" s="6" t="s">
        <v>1728</v>
      </c>
      <c r="D6" s="6" t="s">
        <v>1729</v>
      </c>
      <c r="E6" s="6" t="s">
        <v>1730</v>
      </c>
      <c r="F6" s="6" t="s">
        <v>1731</v>
      </c>
      <c r="G6" s="7" t="s">
        <v>1732</v>
      </c>
      <c r="H6" s="6" t="s">
        <v>285</v>
      </c>
      <c r="I6" s="6" t="s">
        <v>1733</v>
      </c>
      <c r="J6" s="6" t="s">
        <v>1734</v>
      </c>
      <c r="K6" s="6" t="s">
        <v>284</v>
      </c>
      <c r="L6" s="6" t="s">
        <v>1735</v>
      </c>
      <c r="M6" s="6" t="s">
        <v>1736</v>
      </c>
      <c r="N6" s="6" t="s">
        <v>285</v>
      </c>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1737</v>
      </c>
      <c r="C7" s="4" t="s">
        <v>1738</v>
      </c>
      <c r="D7" s="4" t="s">
        <v>1739</v>
      </c>
      <c r="E7" s="4" t="s">
        <v>1740</v>
      </c>
      <c r="F7" s="4" t="s">
        <v>1741</v>
      </c>
      <c r="G7" s="5" t="s">
        <v>1742</v>
      </c>
      <c r="H7" s="4" t="s">
        <v>285</v>
      </c>
      <c r="I7" s="4" t="s">
        <v>1743</v>
      </c>
      <c r="J7" s="4" t="s">
        <v>1744</v>
      </c>
      <c r="K7" s="4" t="s">
        <v>284</v>
      </c>
      <c r="L7" s="4" t="s">
        <v>1745</v>
      </c>
      <c r="M7" s="4" t="s">
        <v>1746</v>
      </c>
      <c r="N7" s="4" t="s">
        <v>285</v>
      </c>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1747</v>
      </c>
      <c r="C8" s="6" t="s">
        <v>1748</v>
      </c>
      <c r="D8" s="6" t="s">
        <v>1749</v>
      </c>
      <c r="E8" s="6" t="s">
        <v>1750</v>
      </c>
      <c r="F8" s="6" t="s">
        <v>1751</v>
      </c>
      <c r="G8" s="7" t="s">
        <v>1752</v>
      </c>
      <c r="H8" s="6" t="s">
        <v>285</v>
      </c>
      <c r="I8" s="6" t="s">
        <v>1753</v>
      </c>
      <c r="J8" s="6" t="s">
        <v>1754</v>
      </c>
      <c r="K8" s="6" t="s">
        <v>284</v>
      </c>
      <c r="L8" s="6" t="s">
        <v>1755</v>
      </c>
      <c r="M8" s="6" t="s">
        <v>1756</v>
      </c>
      <c r="N8" s="6" t="s">
        <v>285</v>
      </c>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1757</v>
      </c>
      <c r="C9" s="4" t="s">
        <v>1758</v>
      </c>
      <c r="D9" s="4" t="s">
        <v>1759</v>
      </c>
      <c r="E9" s="4" t="s">
        <v>1760</v>
      </c>
      <c r="F9" s="4" t="s">
        <v>1761</v>
      </c>
      <c r="G9" s="5" t="s">
        <v>1762</v>
      </c>
      <c r="H9" s="4" t="s">
        <v>285</v>
      </c>
      <c r="I9" s="4" t="s">
        <v>1763</v>
      </c>
      <c r="J9" s="4" t="s">
        <v>1754</v>
      </c>
      <c r="K9" s="4" t="s">
        <v>1764</v>
      </c>
      <c r="L9" s="4" t="s">
        <v>1765</v>
      </c>
      <c r="M9" s="4" t="s">
        <v>1766</v>
      </c>
      <c r="N9" s="4" t="s">
        <v>285</v>
      </c>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1767</v>
      </c>
      <c r="C10" s="6" t="s">
        <v>1768</v>
      </c>
      <c r="D10" s="6" t="s">
        <v>1769</v>
      </c>
      <c r="E10" s="6" t="s">
        <v>1770</v>
      </c>
      <c r="F10" s="6" t="s">
        <v>1771</v>
      </c>
      <c r="G10" s="7" t="s">
        <v>1772</v>
      </c>
      <c r="H10" s="6" t="s">
        <v>285</v>
      </c>
      <c r="I10" s="6" t="s">
        <v>1773</v>
      </c>
      <c r="J10" s="6" t="s">
        <v>1774</v>
      </c>
      <c r="K10" s="6" t="s">
        <v>284</v>
      </c>
      <c r="L10" s="6" t="s">
        <v>1775</v>
      </c>
      <c r="M10" s="6" t="s">
        <v>1776</v>
      </c>
      <c r="N10" s="6" t="s">
        <v>285</v>
      </c>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1777</v>
      </c>
      <c r="C11" s="4" t="s">
        <v>1778</v>
      </c>
      <c r="D11" s="4" t="s">
        <v>1779</v>
      </c>
      <c r="E11" s="4" t="s">
        <v>1780</v>
      </c>
      <c r="F11" s="4" t="s">
        <v>1781</v>
      </c>
      <c r="G11" s="5" t="s">
        <v>1782</v>
      </c>
      <c r="H11" s="4" t="s">
        <v>285</v>
      </c>
      <c r="I11" s="4" t="s">
        <v>1783</v>
      </c>
      <c r="J11" s="4" t="s">
        <v>1754</v>
      </c>
      <c r="K11" s="4" t="s">
        <v>1764</v>
      </c>
      <c r="L11" s="4" t="s">
        <v>1784</v>
      </c>
      <c r="M11" s="4" t="s">
        <v>1785</v>
      </c>
      <c r="N11" s="4" t="s">
        <v>285</v>
      </c>
      <c r="O11" s="4"/>
      <c r="P11" s="4"/>
      <c r="Q11" s="4"/>
      <c r="R11" s="4"/>
      <c r="S11" s="4"/>
      <c r="T11" s="4"/>
      <c r="U11" s="4"/>
      <c r="V11" s="4"/>
      <c r="W11" s="4"/>
      <c r="X11" s="4"/>
      <c r="Y11" s="4"/>
      <c r="Z11" s="4"/>
      <c r="AA11" s="4"/>
      <c r="AB11" s="4"/>
      <c r="AC11" s="4"/>
      <c r="AD11" s="4"/>
      <c r="AE11" s="4"/>
      <c r="AF11" s="4"/>
      <c r="AG11" s="4"/>
      <c r="AH11" s="4"/>
      <c r="AI11" s="4"/>
    </row>
  </sheetData>
  <hyperlinks>
    <hyperlink ref="A1" r:id="rId1" location="#'P-00 INDEX'!A1"/>
    <hyperlink ref="B1" r:id="rId2" location="#'P-Research'!A1"/>
    <hyperlink ref="G5" r:id="rId3"/>
    <hyperlink ref="G6" r:id="rId4"/>
    <hyperlink ref="G7" r:id="rId5"/>
    <hyperlink ref="G8" r:id="rId6"/>
    <hyperlink ref="G9" r:id="rId7"/>
    <hyperlink ref="G10" r:id="rId8"/>
    <hyperlink ref="G11" r:id="rId9"/>
  </hyperlink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60" customWidth="1"/>
    <col min="2" max="2" width="36" customWidth="1"/>
    <col min="3" max="3" width="20" customWidth="1"/>
    <col min="4" max="5" width="15" customWidth="1"/>
    <col min="6" max="6" width="63" customWidth="1"/>
    <col min="7" max="7" width="45" customWidth="1"/>
    <col min="8" max="8" width="22" customWidth="1"/>
    <col min="9" max="9" width="24" customWidth="1"/>
    <col min="10" max="10" width="63" customWidth="1"/>
    <col min="11" max="11" width="24" customWidth="1"/>
    <col min="12" max="12" width="25" customWidth="1"/>
    <col min="13" max="35" width="15" customWidth="1"/>
  </cols>
  <sheetData>
    <row r="1" ht="24" customHeight="1" spans="1:35" x14ac:dyDescent="0.25">
      <c r="A1" s="8" t="s">
        <v>117</v>
      </c>
      <c r="B1" s="8" t="s">
        <v>1551</v>
      </c>
    </row>
    <row r="2" spans="1:35" x14ac:dyDescent="0.25">
      <c r="A2" s="1" t="s">
        <v>1786</v>
      </c>
    </row>
    <row r="4" ht="26" customHeight="1" spans="1:35" s="11" customFormat="1" x14ac:dyDescent="0.25">
      <c r="A4" s="11" t="s">
        <v>2</v>
      </c>
      <c r="B4" s="11" t="s">
        <v>1787</v>
      </c>
      <c r="C4" s="11" t="s">
        <v>1788</v>
      </c>
      <c r="D4" s="11" t="s">
        <v>1789</v>
      </c>
      <c r="E4" s="11" t="s">
        <v>629</v>
      </c>
      <c r="F4" s="11" t="s">
        <v>1790</v>
      </c>
      <c r="G4" s="11" t="s">
        <v>1791</v>
      </c>
      <c r="H4" s="11" t="s">
        <v>1792</v>
      </c>
      <c r="I4" s="11" t="s">
        <v>1793</v>
      </c>
      <c r="J4" s="11" t="s">
        <v>1716</v>
      </c>
      <c r="K4" s="11" t="s">
        <v>1794</v>
      </c>
      <c r="L4" s="11" t="s">
        <v>1795</v>
      </c>
      <c r="M4" s="11" t="s">
        <v>267</v>
      </c>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1796</v>
      </c>
      <c r="C5" s="4" t="s">
        <v>1797</v>
      </c>
      <c r="D5" s="4" t="s">
        <v>1798</v>
      </c>
      <c r="E5" s="4" t="s">
        <v>285</v>
      </c>
      <c r="F5" s="4" t="s">
        <v>1799</v>
      </c>
      <c r="G5" s="4" t="s">
        <v>1800</v>
      </c>
      <c r="H5" s="4" t="s">
        <v>284</v>
      </c>
      <c r="I5" s="4" t="s">
        <v>1801</v>
      </c>
      <c r="J5" s="4" t="s">
        <v>1802</v>
      </c>
      <c r="K5" s="4" t="s">
        <v>1803</v>
      </c>
      <c r="L5" s="4" t="s">
        <v>1804</v>
      </c>
      <c r="M5" s="4" t="s">
        <v>284</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1805</v>
      </c>
      <c r="C6" s="6" t="s">
        <v>1806</v>
      </c>
      <c r="D6" s="6" t="s">
        <v>1798</v>
      </c>
      <c r="E6" s="6" t="s">
        <v>285</v>
      </c>
      <c r="F6" s="6" t="s">
        <v>1807</v>
      </c>
      <c r="G6" s="6" t="s">
        <v>1808</v>
      </c>
      <c r="H6" s="6" t="s">
        <v>1764</v>
      </c>
      <c r="I6" s="6" t="s">
        <v>1801</v>
      </c>
      <c r="J6" s="6" t="s">
        <v>1809</v>
      </c>
      <c r="K6" s="6" t="s">
        <v>1810</v>
      </c>
      <c r="L6" s="6" t="s">
        <v>1811</v>
      </c>
      <c r="M6" s="6" t="s">
        <v>284</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1812</v>
      </c>
      <c r="C7" s="4" t="s">
        <v>1813</v>
      </c>
      <c r="D7" s="4" t="s">
        <v>1798</v>
      </c>
      <c r="E7" s="4" t="s">
        <v>285</v>
      </c>
      <c r="F7" s="4" t="s">
        <v>1814</v>
      </c>
      <c r="G7" s="4" t="s">
        <v>1815</v>
      </c>
      <c r="H7" s="4" t="s">
        <v>284</v>
      </c>
      <c r="I7" s="4" t="s">
        <v>1801</v>
      </c>
      <c r="J7" s="4" t="s">
        <v>1816</v>
      </c>
      <c r="K7" s="4" t="s">
        <v>1803</v>
      </c>
      <c r="L7" s="4" t="s">
        <v>1817</v>
      </c>
      <c r="M7" s="4" t="s">
        <v>284</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1818</v>
      </c>
      <c r="C8" s="6" t="s">
        <v>1813</v>
      </c>
      <c r="D8" s="6" t="s">
        <v>1798</v>
      </c>
      <c r="E8" s="6" t="s">
        <v>285</v>
      </c>
      <c r="F8" s="6" t="s">
        <v>1819</v>
      </c>
      <c r="G8" s="6" t="s">
        <v>1820</v>
      </c>
      <c r="H8" s="6" t="s">
        <v>284</v>
      </c>
      <c r="I8" s="6" t="s">
        <v>1801</v>
      </c>
      <c r="J8" s="6" t="s">
        <v>1821</v>
      </c>
      <c r="K8" s="6" t="s">
        <v>1822</v>
      </c>
      <c r="L8" s="6" t="s">
        <v>1823</v>
      </c>
      <c r="M8" s="6" t="s">
        <v>284</v>
      </c>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1824</v>
      </c>
      <c r="C9" s="4" t="s">
        <v>1813</v>
      </c>
      <c r="D9" s="4" t="s">
        <v>1798</v>
      </c>
      <c r="E9" s="4" t="s">
        <v>285</v>
      </c>
      <c r="F9" s="4" t="s">
        <v>1825</v>
      </c>
      <c r="G9" s="4" t="s">
        <v>1826</v>
      </c>
      <c r="H9" s="4" t="s">
        <v>1764</v>
      </c>
      <c r="I9" s="4" t="s">
        <v>1801</v>
      </c>
      <c r="J9" s="4" t="s">
        <v>1827</v>
      </c>
      <c r="K9" s="4" t="s">
        <v>1828</v>
      </c>
      <c r="L9" s="4" t="s">
        <v>1829</v>
      </c>
      <c r="M9" s="4" t="s">
        <v>284</v>
      </c>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1830</v>
      </c>
      <c r="C10" s="6" t="s">
        <v>1813</v>
      </c>
      <c r="D10" s="6" t="s">
        <v>1798</v>
      </c>
      <c r="E10" s="6" t="s">
        <v>285</v>
      </c>
      <c r="F10" s="6" t="s">
        <v>1831</v>
      </c>
      <c r="G10" s="6" t="s">
        <v>1832</v>
      </c>
      <c r="H10" s="6" t="s">
        <v>284</v>
      </c>
      <c r="I10" s="6" t="s">
        <v>1801</v>
      </c>
      <c r="J10" s="6" t="s">
        <v>1833</v>
      </c>
      <c r="K10" s="6" t="s">
        <v>1803</v>
      </c>
      <c r="L10" s="6" t="s">
        <v>1834</v>
      </c>
      <c r="M10" s="6" t="s">
        <v>284</v>
      </c>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1835</v>
      </c>
      <c r="C11" s="4" t="s">
        <v>1813</v>
      </c>
      <c r="D11" s="4" t="s">
        <v>1798</v>
      </c>
      <c r="E11" s="4" t="s">
        <v>285</v>
      </c>
      <c r="F11" s="4" t="s">
        <v>1836</v>
      </c>
      <c r="G11" s="4" t="s">
        <v>1837</v>
      </c>
      <c r="H11" s="4" t="s">
        <v>1764</v>
      </c>
      <c r="I11" s="4" t="s">
        <v>1801</v>
      </c>
      <c r="J11" s="4" t="s">
        <v>1838</v>
      </c>
      <c r="K11" s="4" t="s">
        <v>1839</v>
      </c>
      <c r="L11" s="4" t="s">
        <v>1840</v>
      </c>
      <c r="M11" s="4" t="s">
        <v>284</v>
      </c>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1841</v>
      </c>
      <c r="C12" s="6" t="s">
        <v>1813</v>
      </c>
      <c r="D12" s="6" t="s">
        <v>1798</v>
      </c>
      <c r="E12" s="6" t="s">
        <v>285</v>
      </c>
      <c r="F12" s="6" t="s">
        <v>1842</v>
      </c>
      <c r="G12" s="6" t="s">
        <v>1843</v>
      </c>
      <c r="H12" s="6" t="s">
        <v>284</v>
      </c>
      <c r="I12" s="6" t="s">
        <v>1801</v>
      </c>
      <c r="J12" s="6" t="s">
        <v>1844</v>
      </c>
      <c r="K12" s="6" t="s">
        <v>1845</v>
      </c>
      <c r="L12" s="6" t="s">
        <v>1846</v>
      </c>
      <c r="M12" s="6" t="s">
        <v>284</v>
      </c>
      <c r="N12" s="4"/>
      <c r="O12" s="4"/>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6"/>
  <sheetViews>
    <sheetView workbookViewId="0"/>
  </sheetViews>
  <sheetFormatPr defaultRowHeight="15" outlineLevelRow="0" outlineLevelCol="0" x14ac:dyDescent="55"/>
  <cols>
    <col min="1" max="1" width="63" customWidth="1"/>
    <col min="2" max="2" width="35" customWidth="1"/>
    <col min="3" max="3" width="44" customWidth="1"/>
    <col min="4" max="4" width="20" customWidth="1"/>
    <col min="5" max="5" width="22" customWidth="1"/>
    <col min="6" max="6" width="33" customWidth="1"/>
    <col min="7" max="7" width="15" customWidth="1"/>
    <col min="8" max="8" width="35" customWidth="1"/>
    <col min="9" max="9" width="19" customWidth="1"/>
    <col min="10" max="10" width="17" customWidth="1"/>
    <col min="11" max="11" width="26" customWidth="1"/>
    <col min="12" max="12" width="22" customWidth="1"/>
    <col min="13" max="13" width="63" customWidth="1"/>
    <col min="14" max="14" width="15" customWidth="1"/>
    <col min="15" max="15" width="58" customWidth="1"/>
    <col min="16" max="16" width="15" customWidth="1"/>
    <col min="17" max="17" width="59" customWidth="1"/>
    <col min="18" max="18" width="19" customWidth="1"/>
    <col min="19" max="19" width="18" customWidth="1"/>
    <col min="20" max="20" width="16" customWidth="1"/>
    <col min="21" max="21" width="15" customWidth="1"/>
    <col min="22" max="22" width="52" customWidth="1"/>
    <col min="23" max="35" width="15" customWidth="1"/>
  </cols>
  <sheetData>
    <row r="1" ht="24" customHeight="1" spans="1:35" x14ac:dyDescent="0.25">
      <c r="A1" s="8" t="s">
        <v>117</v>
      </c>
      <c r="B1" s="8" t="s">
        <v>812</v>
      </c>
    </row>
    <row r="2" spans="1:35" x14ac:dyDescent="0.25">
      <c r="A2" s="1" t="s">
        <v>1847</v>
      </c>
    </row>
    <row r="4" ht="26" customHeight="1" spans="1:35" s="11" customFormat="1" x14ac:dyDescent="0.25">
      <c r="A4" s="11" t="s">
        <v>2</v>
      </c>
      <c r="B4" s="11" t="s">
        <v>1848</v>
      </c>
      <c r="C4" s="11" t="s">
        <v>1849</v>
      </c>
      <c r="D4" s="11" t="s">
        <v>256</v>
      </c>
      <c r="E4" s="11" t="s">
        <v>1850</v>
      </c>
      <c r="F4" s="11" t="s">
        <v>1851</v>
      </c>
      <c r="G4" s="11" t="s">
        <v>1852</v>
      </c>
      <c r="H4" s="11" t="s">
        <v>1853</v>
      </c>
      <c r="I4" s="11" t="s">
        <v>1854</v>
      </c>
      <c r="J4" s="11" t="s">
        <v>1855</v>
      </c>
      <c r="K4" s="11" t="s">
        <v>1856</v>
      </c>
      <c r="L4" s="11" t="s">
        <v>1857</v>
      </c>
      <c r="M4" s="11" t="s">
        <v>1858</v>
      </c>
      <c r="N4" s="11" t="s">
        <v>1859</v>
      </c>
      <c r="O4" s="11" t="s">
        <v>539</v>
      </c>
      <c r="P4" s="11" t="s">
        <v>1860</v>
      </c>
      <c r="Q4" s="11" t="s">
        <v>540</v>
      </c>
      <c r="R4" s="11" t="s">
        <v>537</v>
      </c>
      <c r="S4" s="11" t="s">
        <v>538</v>
      </c>
      <c r="T4" s="11" t="s">
        <v>1861</v>
      </c>
      <c r="U4" s="11" t="s">
        <v>262</v>
      </c>
      <c r="V4" s="11" t="s">
        <v>716</v>
      </c>
      <c r="W4" s="11"/>
      <c r="X4" s="11"/>
      <c r="Y4" s="11"/>
      <c r="Z4" s="11"/>
      <c r="AA4" s="11"/>
      <c r="AB4" s="11"/>
      <c r="AC4" s="11"/>
      <c r="AD4" s="11"/>
      <c r="AE4" s="11"/>
      <c r="AF4" s="11"/>
      <c r="AG4" s="11"/>
      <c r="AH4" s="11"/>
      <c r="AI4" s="11"/>
    </row>
    <row r="5" ht="24" customHeight="1" spans="1:35" s="4" customFormat="1" x14ac:dyDescent="0.25">
      <c r="A5" s="4">
        <v>1</v>
      </c>
      <c r="B5" s="4" t="s">
        <v>1862</v>
      </c>
      <c r="C5" s="4" t="s">
        <v>1863</v>
      </c>
      <c r="D5" s="4" t="s">
        <v>1864</v>
      </c>
      <c r="E5" s="4" t="s">
        <v>1865</v>
      </c>
      <c r="F5" s="4" t="s">
        <v>1866</v>
      </c>
      <c r="G5" s="4" t="s">
        <v>1867</v>
      </c>
      <c r="H5" s="4" t="s">
        <v>1868</v>
      </c>
      <c r="I5" s="4">
        <v>9.5</v>
      </c>
      <c r="J5" s="4" t="s">
        <v>1869</v>
      </c>
      <c r="K5" s="4" t="s">
        <v>1870</v>
      </c>
      <c r="L5" s="4" t="s">
        <v>1871</v>
      </c>
      <c r="M5" s="4" t="s">
        <v>1872</v>
      </c>
      <c r="N5" s="10" t="s">
        <v>547</v>
      </c>
      <c r="O5" s="4" t="s">
        <v>1873</v>
      </c>
      <c r="P5" s="10" t="s">
        <v>1871</v>
      </c>
      <c r="Q5" s="4" t="s">
        <v>1874</v>
      </c>
      <c r="R5" s="4" t="s">
        <v>1875</v>
      </c>
      <c r="S5" s="4" t="s">
        <v>1876</v>
      </c>
      <c r="T5" s="4" t="s">
        <v>285</v>
      </c>
      <c r="U5" s="4" t="s">
        <v>1877</v>
      </c>
      <c r="V5" s="4" t="s">
        <v>1878</v>
      </c>
      <c r="W5" s="4"/>
      <c r="X5" s="4"/>
      <c r="Y5" s="4"/>
      <c r="Z5" s="4"/>
      <c r="AA5" s="4"/>
      <c r="AB5" s="4"/>
      <c r="AC5" s="4"/>
      <c r="AD5" s="4"/>
      <c r="AE5" s="4"/>
      <c r="AF5" s="4"/>
      <c r="AG5" s="4"/>
      <c r="AH5" s="4"/>
      <c r="AI5" s="4"/>
    </row>
    <row r="6" ht="24" customHeight="1" spans="1:35" s="4" customFormat="1" x14ac:dyDescent="0.25">
      <c r="A6" s="6">
        <v>2</v>
      </c>
      <c r="B6" s="6" t="s">
        <v>1879</v>
      </c>
      <c r="C6" s="6" t="s">
        <v>1880</v>
      </c>
      <c r="D6" s="6" t="s">
        <v>1881</v>
      </c>
      <c r="E6" s="6" t="s">
        <v>1865</v>
      </c>
      <c r="F6" s="6" t="s">
        <v>1866</v>
      </c>
      <c r="G6" s="6" t="s">
        <v>1867</v>
      </c>
      <c r="H6" s="6" t="s">
        <v>1868</v>
      </c>
      <c r="I6" s="6">
        <v>9</v>
      </c>
      <c r="J6" s="6" t="s">
        <v>1869</v>
      </c>
      <c r="K6" s="6" t="s">
        <v>1870</v>
      </c>
      <c r="L6" s="6" t="s">
        <v>1871</v>
      </c>
      <c r="M6" s="6" t="s">
        <v>325</v>
      </c>
      <c r="N6" s="9" t="s">
        <v>547</v>
      </c>
      <c r="O6" s="6" t="s">
        <v>1873</v>
      </c>
      <c r="P6" s="9" t="s">
        <v>1871</v>
      </c>
      <c r="Q6" s="6" t="s">
        <v>1874</v>
      </c>
      <c r="R6" s="6" t="s">
        <v>1875</v>
      </c>
      <c r="S6" s="6" t="s">
        <v>1876</v>
      </c>
      <c r="T6" s="6" t="s">
        <v>285</v>
      </c>
      <c r="U6" s="6" t="s">
        <v>1877</v>
      </c>
      <c r="V6" s="6" t="s">
        <v>1878</v>
      </c>
      <c r="W6" s="4"/>
      <c r="X6" s="4"/>
      <c r="Y6" s="4"/>
      <c r="Z6" s="4"/>
      <c r="AA6" s="4"/>
      <c r="AB6" s="4"/>
      <c r="AC6" s="4"/>
      <c r="AD6" s="4"/>
      <c r="AE6" s="4"/>
      <c r="AF6" s="4"/>
      <c r="AG6" s="4"/>
      <c r="AH6" s="4"/>
      <c r="AI6" s="4"/>
    </row>
    <row r="7" ht="24" customHeight="1" spans="1:35" s="4" customFormat="1" x14ac:dyDescent="0.25">
      <c r="A7" s="4">
        <v>3</v>
      </c>
      <c r="B7" s="4" t="s">
        <v>1882</v>
      </c>
      <c r="C7" s="4" t="s">
        <v>1883</v>
      </c>
      <c r="D7" s="4" t="s">
        <v>1884</v>
      </c>
      <c r="E7" s="4" t="s">
        <v>1865</v>
      </c>
      <c r="F7" s="4" t="s">
        <v>1866</v>
      </c>
      <c r="G7" s="4" t="s">
        <v>1867</v>
      </c>
      <c r="H7" s="4" t="s">
        <v>1868</v>
      </c>
      <c r="I7" s="4">
        <v>9.2</v>
      </c>
      <c r="J7" s="4" t="s">
        <v>1869</v>
      </c>
      <c r="K7" s="4" t="s">
        <v>1870</v>
      </c>
      <c r="L7" s="4" t="s">
        <v>1871</v>
      </c>
      <c r="M7" s="4" t="s">
        <v>325</v>
      </c>
      <c r="N7" s="10" t="s">
        <v>547</v>
      </c>
      <c r="O7" s="4" t="s">
        <v>1873</v>
      </c>
      <c r="P7" s="10" t="s">
        <v>1871</v>
      </c>
      <c r="Q7" s="4" t="s">
        <v>1874</v>
      </c>
      <c r="R7" s="4" t="s">
        <v>1875</v>
      </c>
      <c r="S7" s="4" t="s">
        <v>1876</v>
      </c>
      <c r="T7" s="4" t="s">
        <v>285</v>
      </c>
      <c r="U7" s="4" t="s">
        <v>1877</v>
      </c>
      <c r="V7" s="4" t="s">
        <v>1878</v>
      </c>
      <c r="W7" s="4"/>
      <c r="X7" s="4"/>
      <c r="Y7" s="4"/>
      <c r="Z7" s="4"/>
      <c r="AA7" s="4"/>
      <c r="AB7" s="4"/>
      <c r="AC7" s="4"/>
      <c r="AD7" s="4"/>
      <c r="AE7" s="4"/>
      <c r="AF7" s="4"/>
      <c r="AG7" s="4"/>
      <c r="AH7" s="4"/>
      <c r="AI7" s="4"/>
    </row>
    <row r="8" ht="24" customHeight="1" spans="1:35" s="4" customFormat="1" x14ac:dyDescent="0.25">
      <c r="A8" s="6">
        <v>4</v>
      </c>
      <c r="B8" s="6" t="s">
        <v>1885</v>
      </c>
      <c r="C8" s="6" t="s">
        <v>1886</v>
      </c>
      <c r="D8" s="6" t="s">
        <v>321</v>
      </c>
      <c r="E8" s="6" t="s">
        <v>1887</v>
      </c>
      <c r="F8" s="6" t="s">
        <v>1888</v>
      </c>
      <c r="G8" s="6" t="s">
        <v>1867</v>
      </c>
      <c r="H8" s="6" t="s">
        <v>1889</v>
      </c>
      <c r="I8" s="6">
        <v>9.4</v>
      </c>
      <c r="J8" s="6" t="s">
        <v>1869</v>
      </c>
      <c r="K8" s="6" t="s">
        <v>1870</v>
      </c>
      <c r="L8" s="6" t="s">
        <v>1871</v>
      </c>
      <c r="M8" s="6" t="s">
        <v>1890</v>
      </c>
      <c r="N8" s="9" t="s">
        <v>547</v>
      </c>
      <c r="O8" s="6" t="s">
        <v>1873</v>
      </c>
      <c r="P8" s="9" t="s">
        <v>1871</v>
      </c>
      <c r="Q8" s="6" t="s">
        <v>1874</v>
      </c>
      <c r="R8" s="6" t="s">
        <v>1875</v>
      </c>
      <c r="S8" s="6" t="s">
        <v>1876</v>
      </c>
      <c r="T8" s="6" t="s">
        <v>285</v>
      </c>
      <c r="U8" s="6" t="s">
        <v>1877</v>
      </c>
      <c r="V8" s="6" t="s">
        <v>1878</v>
      </c>
      <c r="W8" s="4"/>
      <c r="X8" s="4"/>
      <c r="Y8" s="4"/>
      <c r="Z8" s="4"/>
      <c r="AA8" s="4"/>
      <c r="AB8" s="4"/>
      <c r="AC8" s="4"/>
      <c r="AD8" s="4"/>
      <c r="AE8" s="4"/>
      <c r="AF8" s="4"/>
      <c r="AG8" s="4"/>
      <c r="AH8" s="4"/>
      <c r="AI8" s="4"/>
    </row>
    <row r="9" ht="24" customHeight="1" spans="1:35" s="4" customFormat="1" x14ac:dyDescent="0.25">
      <c r="A9" s="4">
        <v>5</v>
      </c>
      <c r="B9" s="4" t="s">
        <v>1891</v>
      </c>
      <c r="C9" s="4" t="s">
        <v>1892</v>
      </c>
      <c r="D9" s="4" t="s">
        <v>352</v>
      </c>
      <c r="E9" s="4" t="s">
        <v>1893</v>
      </c>
      <c r="F9" s="4" t="s">
        <v>1894</v>
      </c>
      <c r="G9" s="4" t="s">
        <v>1867</v>
      </c>
      <c r="H9" s="4" t="s">
        <v>1889</v>
      </c>
      <c r="I9" s="4">
        <v>9.8</v>
      </c>
      <c r="J9" s="4" t="s">
        <v>1869</v>
      </c>
      <c r="K9" s="4" t="s">
        <v>1870</v>
      </c>
      <c r="L9" s="4" t="s">
        <v>1871</v>
      </c>
      <c r="M9" s="4" t="s">
        <v>1895</v>
      </c>
      <c r="N9" s="10" t="s">
        <v>547</v>
      </c>
      <c r="O9" s="4" t="s">
        <v>1873</v>
      </c>
      <c r="P9" s="10" t="s">
        <v>1871</v>
      </c>
      <c r="Q9" s="4" t="s">
        <v>1874</v>
      </c>
      <c r="R9" s="4" t="s">
        <v>1875</v>
      </c>
      <c r="S9" s="4" t="s">
        <v>1876</v>
      </c>
      <c r="T9" s="4" t="s">
        <v>285</v>
      </c>
      <c r="U9" s="4" t="s">
        <v>1877</v>
      </c>
      <c r="V9" s="4" t="s">
        <v>1878</v>
      </c>
      <c r="W9" s="4"/>
      <c r="X9" s="4"/>
      <c r="Y9" s="4"/>
      <c r="Z9" s="4"/>
      <c r="AA9" s="4"/>
      <c r="AB9" s="4"/>
      <c r="AC9" s="4"/>
      <c r="AD9" s="4"/>
      <c r="AE9" s="4"/>
      <c r="AF9" s="4"/>
      <c r="AG9" s="4"/>
      <c r="AH9" s="4"/>
      <c r="AI9" s="4"/>
    </row>
    <row r="10" ht="24" customHeight="1" spans="1:35" s="4" customFormat="1" x14ac:dyDescent="0.25">
      <c r="A10" s="6">
        <v>6</v>
      </c>
      <c r="B10" s="6" t="s">
        <v>1896</v>
      </c>
      <c r="C10" s="6" t="s">
        <v>1897</v>
      </c>
      <c r="D10" s="6" t="s">
        <v>473</v>
      </c>
      <c r="E10" s="6" t="s">
        <v>1898</v>
      </c>
      <c r="F10" s="6" t="s">
        <v>1866</v>
      </c>
      <c r="G10" s="6" t="s">
        <v>1867</v>
      </c>
      <c r="H10" s="6" t="s">
        <v>1899</v>
      </c>
      <c r="I10" s="6">
        <v>9.3</v>
      </c>
      <c r="J10" s="6" t="s">
        <v>1900</v>
      </c>
      <c r="K10" s="6" t="s">
        <v>1870</v>
      </c>
      <c r="L10" s="6" t="s">
        <v>1871</v>
      </c>
      <c r="M10" s="6" t="s">
        <v>1901</v>
      </c>
      <c r="N10" s="9" t="s">
        <v>547</v>
      </c>
      <c r="O10" s="6" t="s">
        <v>1873</v>
      </c>
      <c r="P10" s="9" t="s">
        <v>1871</v>
      </c>
      <c r="Q10" s="6" t="s">
        <v>1874</v>
      </c>
      <c r="R10" s="6" t="s">
        <v>1875</v>
      </c>
      <c r="S10" s="6" t="s">
        <v>1876</v>
      </c>
      <c r="T10" s="6" t="s">
        <v>285</v>
      </c>
      <c r="U10" s="6" t="s">
        <v>1877</v>
      </c>
      <c r="V10" s="6" t="s">
        <v>1878</v>
      </c>
      <c r="W10" s="4"/>
      <c r="X10" s="4"/>
      <c r="Y10" s="4"/>
      <c r="Z10" s="4"/>
      <c r="AA10" s="4"/>
      <c r="AB10" s="4"/>
      <c r="AC10" s="4"/>
      <c r="AD10" s="4"/>
      <c r="AE10" s="4"/>
      <c r="AF10" s="4"/>
      <c r="AG10" s="4"/>
      <c r="AH10" s="4"/>
      <c r="AI10" s="4"/>
    </row>
    <row r="11" ht="24" customHeight="1" spans="1:35" s="4" customFormat="1" x14ac:dyDescent="0.25">
      <c r="A11" s="4">
        <v>7</v>
      </c>
      <c r="B11" s="4" t="s">
        <v>1902</v>
      </c>
      <c r="C11" s="4" t="s">
        <v>1903</v>
      </c>
      <c r="D11" s="4" t="s">
        <v>1904</v>
      </c>
      <c r="E11" s="4" t="s">
        <v>1887</v>
      </c>
      <c r="F11" s="4" t="s">
        <v>1866</v>
      </c>
      <c r="G11" s="4" t="s">
        <v>1867</v>
      </c>
      <c r="H11" s="4" t="s">
        <v>1889</v>
      </c>
      <c r="I11" s="4">
        <v>9.9</v>
      </c>
      <c r="J11" s="4" t="s">
        <v>1869</v>
      </c>
      <c r="K11" s="4" t="s">
        <v>1870</v>
      </c>
      <c r="L11" s="4" t="s">
        <v>1871</v>
      </c>
      <c r="M11" s="4" t="s">
        <v>1905</v>
      </c>
      <c r="N11" s="10" t="s">
        <v>547</v>
      </c>
      <c r="O11" s="4" t="s">
        <v>1873</v>
      </c>
      <c r="P11" s="10" t="s">
        <v>1871</v>
      </c>
      <c r="Q11" s="4" t="s">
        <v>1874</v>
      </c>
      <c r="R11" s="4" t="s">
        <v>1875</v>
      </c>
      <c r="S11" s="4" t="s">
        <v>1876</v>
      </c>
      <c r="T11" s="4" t="s">
        <v>285</v>
      </c>
      <c r="U11" s="4" t="s">
        <v>1877</v>
      </c>
      <c r="V11" s="4" t="s">
        <v>1878</v>
      </c>
      <c r="W11" s="4"/>
      <c r="X11" s="4"/>
      <c r="Y11" s="4"/>
      <c r="Z11" s="4"/>
      <c r="AA11" s="4"/>
      <c r="AB11" s="4"/>
      <c r="AC11" s="4"/>
      <c r="AD11" s="4"/>
      <c r="AE11" s="4"/>
      <c r="AF11" s="4"/>
      <c r="AG11" s="4"/>
      <c r="AH11" s="4"/>
      <c r="AI11" s="4"/>
    </row>
    <row r="12" ht="24" customHeight="1" spans="1:35" s="4" customFormat="1" x14ac:dyDescent="0.25">
      <c r="A12" s="6">
        <v>8</v>
      </c>
      <c r="B12" s="6" t="s">
        <v>1906</v>
      </c>
      <c r="C12" s="6" t="s">
        <v>1907</v>
      </c>
      <c r="D12" s="6" t="s">
        <v>1904</v>
      </c>
      <c r="E12" s="6" t="s">
        <v>1908</v>
      </c>
      <c r="F12" s="6" t="s">
        <v>1866</v>
      </c>
      <c r="G12" s="6" t="s">
        <v>1867</v>
      </c>
      <c r="H12" s="6" t="s">
        <v>1868</v>
      </c>
      <c r="I12" s="6">
        <v>9.1</v>
      </c>
      <c r="J12" s="6" t="s">
        <v>1869</v>
      </c>
      <c r="K12" s="6" t="s">
        <v>1870</v>
      </c>
      <c r="L12" s="6" t="s">
        <v>1871</v>
      </c>
      <c r="M12" s="6" t="s">
        <v>1909</v>
      </c>
      <c r="N12" s="9" t="s">
        <v>547</v>
      </c>
      <c r="O12" s="6" t="s">
        <v>1873</v>
      </c>
      <c r="P12" s="9" t="s">
        <v>1871</v>
      </c>
      <c r="Q12" s="6" t="s">
        <v>1874</v>
      </c>
      <c r="R12" s="6" t="s">
        <v>1875</v>
      </c>
      <c r="S12" s="6" t="s">
        <v>1876</v>
      </c>
      <c r="T12" s="6" t="s">
        <v>285</v>
      </c>
      <c r="U12" s="6" t="s">
        <v>1877</v>
      </c>
      <c r="V12" s="6" t="s">
        <v>1878</v>
      </c>
      <c r="W12" s="4"/>
      <c r="X12" s="4"/>
      <c r="Y12" s="4"/>
      <c r="Z12" s="4"/>
      <c r="AA12" s="4"/>
      <c r="AB12" s="4"/>
      <c r="AC12" s="4"/>
      <c r="AD12" s="4"/>
      <c r="AE12" s="4"/>
      <c r="AF12" s="4"/>
      <c r="AG12" s="4"/>
      <c r="AH12" s="4"/>
      <c r="AI12" s="4"/>
    </row>
    <row r="13" ht="24" customHeight="1" spans="1:35" s="4" customFormat="1" x14ac:dyDescent="0.25">
      <c r="A13" s="4">
        <v>9</v>
      </c>
      <c r="B13" s="4" t="s">
        <v>1910</v>
      </c>
      <c r="C13" s="4" t="s">
        <v>1911</v>
      </c>
      <c r="D13" s="4" t="s">
        <v>1904</v>
      </c>
      <c r="E13" s="4" t="s">
        <v>1865</v>
      </c>
      <c r="F13" s="4" t="s">
        <v>1866</v>
      </c>
      <c r="G13" s="4" t="s">
        <v>1867</v>
      </c>
      <c r="H13" s="4" t="s">
        <v>1868</v>
      </c>
      <c r="I13" s="4">
        <v>9.2</v>
      </c>
      <c r="J13" s="4" t="s">
        <v>1869</v>
      </c>
      <c r="K13" s="4" t="s">
        <v>1870</v>
      </c>
      <c r="L13" s="4" t="s">
        <v>1871</v>
      </c>
      <c r="M13" s="4" t="s">
        <v>407</v>
      </c>
      <c r="N13" s="10" t="s">
        <v>547</v>
      </c>
      <c r="O13" s="4" t="s">
        <v>1873</v>
      </c>
      <c r="P13" s="10" t="s">
        <v>1871</v>
      </c>
      <c r="Q13" s="4" t="s">
        <v>1874</v>
      </c>
      <c r="R13" s="4" t="s">
        <v>1875</v>
      </c>
      <c r="S13" s="4" t="s">
        <v>1876</v>
      </c>
      <c r="T13" s="4" t="s">
        <v>285</v>
      </c>
      <c r="U13" s="4" t="s">
        <v>1877</v>
      </c>
      <c r="V13" s="4" t="s">
        <v>1878</v>
      </c>
      <c r="W13" s="4"/>
      <c r="X13" s="4"/>
      <c r="Y13" s="4"/>
      <c r="Z13" s="4"/>
      <c r="AA13" s="4"/>
      <c r="AB13" s="4"/>
      <c r="AC13" s="4"/>
      <c r="AD13" s="4"/>
      <c r="AE13" s="4"/>
      <c r="AF13" s="4"/>
      <c r="AG13" s="4"/>
      <c r="AH13" s="4"/>
      <c r="AI13" s="4"/>
    </row>
    <row r="14" ht="24" customHeight="1" spans="1:35" s="4" customFormat="1" x14ac:dyDescent="0.25">
      <c r="A14" s="6">
        <v>10</v>
      </c>
      <c r="B14" s="6" t="s">
        <v>1912</v>
      </c>
      <c r="C14" s="6" t="s">
        <v>1913</v>
      </c>
      <c r="D14" s="6" t="s">
        <v>1914</v>
      </c>
      <c r="E14" s="6" t="s">
        <v>1908</v>
      </c>
      <c r="F14" s="6" t="s">
        <v>1915</v>
      </c>
      <c r="G14" s="6" t="s">
        <v>1867</v>
      </c>
      <c r="H14" s="6" t="s">
        <v>1916</v>
      </c>
      <c r="I14" s="6">
        <v>9.4</v>
      </c>
      <c r="J14" s="6" t="s">
        <v>1869</v>
      </c>
      <c r="K14" s="6" t="s">
        <v>1563</v>
      </c>
      <c r="L14" s="6" t="s">
        <v>1871</v>
      </c>
      <c r="M14" s="6" t="s">
        <v>325</v>
      </c>
      <c r="N14" s="9" t="s">
        <v>547</v>
      </c>
      <c r="O14" s="6" t="s">
        <v>1873</v>
      </c>
      <c r="P14" s="9" t="s">
        <v>1871</v>
      </c>
      <c r="Q14" s="6" t="s">
        <v>1874</v>
      </c>
      <c r="R14" s="6" t="s">
        <v>1875</v>
      </c>
      <c r="S14" s="6" t="s">
        <v>1876</v>
      </c>
      <c r="T14" s="6" t="s">
        <v>285</v>
      </c>
      <c r="U14" s="6" t="s">
        <v>1877</v>
      </c>
      <c r="V14" s="6" t="s">
        <v>1878</v>
      </c>
      <c r="W14" s="4"/>
      <c r="X14" s="4"/>
      <c r="Y14" s="4"/>
      <c r="Z14" s="4"/>
      <c r="AA14" s="4"/>
      <c r="AB14" s="4"/>
      <c r="AC14" s="4"/>
      <c r="AD14" s="4"/>
      <c r="AE14" s="4"/>
      <c r="AF14" s="4"/>
      <c r="AG14" s="4"/>
      <c r="AH14" s="4"/>
      <c r="AI14" s="4"/>
    </row>
    <row r="15" ht="24" customHeight="1" spans="1:35" s="4" customFormat="1" x14ac:dyDescent="0.25">
      <c r="A15" s="4">
        <v>11</v>
      </c>
      <c r="B15" s="4" t="s">
        <v>1917</v>
      </c>
      <c r="C15" s="4" t="s">
        <v>1918</v>
      </c>
      <c r="D15" s="4" t="s">
        <v>1884</v>
      </c>
      <c r="E15" s="4" t="s">
        <v>1887</v>
      </c>
      <c r="F15" s="4" t="s">
        <v>1919</v>
      </c>
      <c r="G15" s="4" t="s">
        <v>1867</v>
      </c>
      <c r="H15" s="4" t="s">
        <v>1920</v>
      </c>
      <c r="I15" s="4">
        <v>9.7</v>
      </c>
      <c r="J15" s="4" t="s">
        <v>1869</v>
      </c>
      <c r="K15" s="4" t="s">
        <v>1563</v>
      </c>
      <c r="L15" s="4" t="s">
        <v>1871</v>
      </c>
      <c r="M15" s="4" t="s">
        <v>325</v>
      </c>
      <c r="N15" s="10" t="s">
        <v>547</v>
      </c>
      <c r="O15" s="4" t="s">
        <v>1873</v>
      </c>
      <c r="P15" s="10" t="s">
        <v>1871</v>
      </c>
      <c r="Q15" s="4" t="s">
        <v>1874</v>
      </c>
      <c r="R15" s="4" t="s">
        <v>1875</v>
      </c>
      <c r="S15" s="4" t="s">
        <v>1876</v>
      </c>
      <c r="T15" s="4" t="s">
        <v>285</v>
      </c>
      <c r="U15" s="4" t="s">
        <v>1877</v>
      </c>
      <c r="V15" s="4" t="s">
        <v>1878</v>
      </c>
      <c r="W15" s="4"/>
      <c r="X15" s="4"/>
      <c r="Y15" s="4"/>
      <c r="Z15" s="4"/>
      <c r="AA15" s="4"/>
      <c r="AB15" s="4"/>
      <c r="AC15" s="4"/>
      <c r="AD15" s="4"/>
      <c r="AE15" s="4"/>
      <c r="AF15" s="4"/>
      <c r="AG15" s="4"/>
      <c r="AH15" s="4"/>
      <c r="AI15" s="4"/>
    </row>
    <row r="16" ht="24" customHeight="1" spans="1:35" s="4" customFormat="1" x14ac:dyDescent="0.25">
      <c r="A16" s="6">
        <v>12</v>
      </c>
      <c r="B16" s="6" t="s">
        <v>1921</v>
      </c>
      <c r="C16" s="6" t="s">
        <v>1922</v>
      </c>
      <c r="D16" s="6" t="s">
        <v>414</v>
      </c>
      <c r="E16" s="6" t="s">
        <v>1865</v>
      </c>
      <c r="F16" s="6" t="s">
        <v>1866</v>
      </c>
      <c r="G16" s="6" t="s">
        <v>1867</v>
      </c>
      <c r="H16" s="6" t="s">
        <v>1868</v>
      </c>
      <c r="I16" s="6">
        <v>8.8</v>
      </c>
      <c r="J16" s="6" t="s">
        <v>1869</v>
      </c>
      <c r="K16" s="6" t="s">
        <v>1870</v>
      </c>
      <c r="L16" s="6" t="s">
        <v>1871</v>
      </c>
      <c r="M16" s="6" t="s">
        <v>407</v>
      </c>
      <c r="N16" s="9" t="s">
        <v>547</v>
      </c>
      <c r="O16" s="6" t="s">
        <v>1873</v>
      </c>
      <c r="P16" s="9" t="s">
        <v>1871</v>
      </c>
      <c r="Q16" s="6" t="s">
        <v>1874</v>
      </c>
      <c r="R16" s="6" t="s">
        <v>1875</v>
      </c>
      <c r="S16" s="6" t="s">
        <v>1876</v>
      </c>
      <c r="T16" s="6" t="s">
        <v>285</v>
      </c>
      <c r="U16" s="6" t="s">
        <v>1877</v>
      </c>
      <c r="V16" s="6" t="s">
        <v>1878</v>
      </c>
      <c r="W16" s="4"/>
      <c r="X16" s="4"/>
      <c r="Y16" s="4"/>
      <c r="Z16" s="4"/>
      <c r="AA16" s="4"/>
      <c r="AB16" s="4"/>
      <c r="AC16" s="4"/>
      <c r="AD16" s="4"/>
      <c r="AE16" s="4"/>
      <c r="AF16" s="4"/>
      <c r="AG16" s="4"/>
      <c r="AH16" s="4"/>
      <c r="AI16" s="4"/>
    </row>
  </sheetData>
  <dataValidations count="2">
    <dataValidation type="list" sqref="N10:N16">
      <formula1>"OPEN,PASS,FAILED,PARTIAL,REVIEW,ACCEPTED,REJECTED,PARKED"</formula1>
    </dataValidation>
    <dataValidation type="list" sqref="N5:N16">
      <formula1>"OPEN,PASS,FAILED,PARTIAL,REVIEW,ACCEPTED,REJECTED,PARKED"</formula1>
    </dataValidation>
  </dataValidations>
  <hyperlinks>
    <hyperlink ref="A1" r:id="rId1" location="#'P-00 INDEX'!A1"/>
    <hyperlink ref="B1" r:id="rId2" location="#'P-Utilities'!A1"/>
    <hyperlink ref="R5" r:id="rId3"/>
    <hyperlink ref="S5" r:id="rId4"/>
    <hyperlink ref="R6" r:id="rId5"/>
    <hyperlink ref="S6" r:id="rId6"/>
    <hyperlink ref="R7" r:id="rId7"/>
    <hyperlink ref="S7" r:id="rId8"/>
    <hyperlink ref="R8" r:id="rId9"/>
    <hyperlink ref="S8" r:id="rId10"/>
    <hyperlink ref="R9" r:id="rId11"/>
    <hyperlink ref="S9" r:id="rId12"/>
    <hyperlink ref="R10" r:id="rId13"/>
    <hyperlink ref="S10" r:id="rId14"/>
    <hyperlink ref="R11" r:id="rId15"/>
    <hyperlink ref="S11" r:id="rId16"/>
    <hyperlink ref="R12" r:id="rId17"/>
    <hyperlink ref="S12" r:id="rId18"/>
    <hyperlink ref="R13" r:id="rId19"/>
    <hyperlink ref="S13" r:id="rId20"/>
    <hyperlink ref="R14" r:id="rId21"/>
    <hyperlink ref="S14" r:id="rId22"/>
    <hyperlink ref="R15" r:id="rId23"/>
    <hyperlink ref="S15" r:id="rId24"/>
    <hyperlink ref="R16" r:id="rId25"/>
    <hyperlink ref="S16" r:id="rId26"/>
  </hyperlinks>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0"/>
  <sheetViews>
    <sheetView workbookViewId="0"/>
  </sheetViews>
  <sheetFormatPr defaultRowHeight="15" outlineLevelRow="0" outlineLevelCol="0" x14ac:dyDescent="55"/>
  <cols>
    <col min="1" max="1" width="63" customWidth="1"/>
    <col min="2" max="2" width="33" customWidth="1"/>
    <col min="3" max="3" width="26" customWidth="1"/>
    <col min="4" max="4" width="20" customWidth="1"/>
    <col min="5" max="5" width="15" customWidth="1"/>
    <col min="6" max="8" width="63" customWidth="1"/>
    <col min="9" max="35" width="15" customWidth="1"/>
  </cols>
  <sheetData>
    <row r="1" ht="24" customHeight="1" spans="1:35" x14ac:dyDescent="0.25">
      <c r="A1" s="8" t="s">
        <v>117</v>
      </c>
      <c r="B1" s="8" t="s">
        <v>812</v>
      </c>
    </row>
    <row r="2" spans="1:35" x14ac:dyDescent="0.25">
      <c r="A2" s="1" t="s">
        <v>1923</v>
      </c>
    </row>
    <row r="4" ht="26" customHeight="1" spans="1:35" s="11" customFormat="1" x14ac:dyDescent="0.25">
      <c r="A4" s="11" t="s">
        <v>2</v>
      </c>
      <c r="B4" s="11" t="s">
        <v>1924</v>
      </c>
      <c r="C4" s="11" t="s">
        <v>1849</v>
      </c>
      <c r="D4" s="11" t="s">
        <v>1925</v>
      </c>
      <c r="E4" s="11" t="s">
        <v>1926</v>
      </c>
      <c r="F4" s="11" t="s">
        <v>1927</v>
      </c>
      <c r="G4" s="11" t="s">
        <v>822</v>
      </c>
      <c r="H4" s="11" t="s">
        <v>823</v>
      </c>
      <c r="I4" s="11"/>
      <c r="J4" s="11"/>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1864</v>
      </c>
      <c r="C5" s="4" t="s">
        <v>1928</v>
      </c>
      <c r="D5" s="4" t="s">
        <v>1864</v>
      </c>
      <c r="E5" s="4" t="s">
        <v>1929</v>
      </c>
      <c r="F5" s="4" t="s">
        <v>1930</v>
      </c>
      <c r="G5" s="4" t="s">
        <v>1931</v>
      </c>
      <c r="H5" s="4" t="s">
        <v>1932</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1884</v>
      </c>
      <c r="C6" s="6" t="s">
        <v>1933</v>
      </c>
      <c r="D6" s="6" t="s">
        <v>1884</v>
      </c>
      <c r="E6" s="6" t="s">
        <v>1934</v>
      </c>
      <c r="F6" s="6" t="s">
        <v>1935</v>
      </c>
      <c r="G6" s="6" t="s">
        <v>1936</v>
      </c>
      <c r="H6" s="6" t="s">
        <v>1937</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321</v>
      </c>
      <c r="C7" s="4" t="s">
        <v>1938</v>
      </c>
      <c r="D7" s="4" t="s">
        <v>321</v>
      </c>
      <c r="E7" s="4" t="s">
        <v>1939</v>
      </c>
      <c r="F7" s="4" t="s">
        <v>1940</v>
      </c>
      <c r="G7" s="4" t="s">
        <v>1941</v>
      </c>
      <c r="H7" s="4" t="s">
        <v>1942</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1904</v>
      </c>
      <c r="C8" s="6" t="s">
        <v>1943</v>
      </c>
      <c r="D8" s="6" t="s">
        <v>1904</v>
      </c>
      <c r="E8" s="6" t="s">
        <v>1944</v>
      </c>
      <c r="F8" s="6" t="s">
        <v>1945</v>
      </c>
      <c r="G8" s="6" t="s">
        <v>1946</v>
      </c>
      <c r="H8" s="6" t="s">
        <v>1947</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352</v>
      </c>
      <c r="C9" s="4" t="s">
        <v>1948</v>
      </c>
      <c r="D9" s="4" t="s">
        <v>352</v>
      </c>
      <c r="E9" s="4" t="s">
        <v>1949</v>
      </c>
      <c r="F9" s="4" t="s">
        <v>1950</v>
      </c>
      <c r="G9" s="4" t="s">
        <v>1951</v>
      </c>
      <c r="H9" s="4" t="s">
        <v>1952</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473</v>
      </c>
      <c r="C10" s="6" t="s">
        <v>1953</v>
      </c>
      <c r="D10" s="6" t="s">
        <v>473</v>
      </c>
      <c r="E10" s="6" t="s">
        <v>1954</v>
      </c>
      <c r="F10" s="6" t="s">
        <v>1955</v>
      </c>
      <c r="G10" s="6" t="s">
        <v>1956</v>
      </c>
      <c r="H10" s="6" t="s">
        <v>1957</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1881</v>
      </c>
      <c r="C11" s="4" t="s">
        <v>1958</v>
      </c>
      <c r="D11" s="4" t="s">
        <v>1881</v>
      </c>
      <c r="E11" s="4" t="s">
        <v>1959</v>
      </c>
      <c r="F11" s="4" t="s">
        <v>1960</v>
      </c>
      <c r="G11" s="4" t="s">
        <v>1961</v>
      </c>
      <c r="H11" s="4" t="s">
        <v>1962</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1963</v>
      </c>
      <c r="C12" s="6" t="s">
        <v>1964</v>
      </c>
      <c r="D12" s="6" t="s">
        <v>1963</v>
      </c>
      <c r="E12" s="6" t="s">
        <v>1965</v>
      </c>
      <c r="F12" s="6" t="s">
        <v>1966</v>
      </c>
      <c r="G12" s="6" t="s">
        <v>1967</v>
      </c>
      <c r="H12" s="6" t="s">
        <v>1968</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414</v>
      </c>
      <c r="C13" s="4" t="s">
        <v>1969</v>
      </c>
      <c r="D13" s="4" t="s">
        <v>414</v>
      </c>
      <c r="E13" s="4" t="s">
        <v>1970</v>
      </c>
      <c r="F13" s="4" t="s">
        <v>1971</v>
      </c>
      <c r="G13" s="4" t="s">
        <v>1972</v>
      </c>
      <c r="H13" s="4" t="s">
        <v>1973</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1974</v>
      </c>
      <c r="C14" s="6" t="s">
        <v>1975</v>
      </c>
      <c r="D14" s="6" t="s">
        <v>1974</v>
      </c>
      <c r="E14" s="6" t="s">
        <v>1976</v>
      </c>
      <c r="F14" s="6" t="s">
        <v>1977</v>
      </c>
      <c r="G14" s="6" t="s">
        <v>1978</v>
      </c>
      <c r="H14" s="6" t="s">
        <v>1979</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451</v>
      </c>
      <c r="C15" s="4" t="s">
        <v>1980</v>
      </c>
      <c r="D15" s="4" t="s">
        <v>451</v>
      </c>
      <c r="E15" s="4" t="s">
        <v>1981</v>
      </c>
      <c r="F15" s="4" t="s">
        <v>1982</v>
      </c>
      <c r="G15" s="4" t="s">
        <v>1983</v>
      </c>
      <c r="H15" s="4" t="s">
        <v>1984</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435</v>
      </c>
      <c r="C16" s="6" t="s">
        <v>1985</v>
      </c>
      <c r="D16" s="6" t="s">
        <v>435</v>
      </c>
      <c r="E16" s="6" t="s">
        <v>1986</v>
      </c>
      <c r="F16" s="6" t="s">
        <v>1987</v>
      </c>
      <c r="G16" s="6" t="s">
        <v>1988</v>
      </c>
      <c r="H16" s="6" t="s">
        <v>1989</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1990</v>
      </c>
      <c r="C17" s="4" t="s">
        <v>1991</v>
      </c>
      <c r="D17" s="4" t="s">
        <v>1990</v>
      </c>
      <c r="E17" s="4" t="s">
        <v>1992</v>
      </c>
      <c r="F17" s="4" t="s">
        <v>1993</v>
      </c>
      <c r="G17" s="4" t="s">
        <v>1994</v>
      </c>
      <c r="H17" s="4" t="s">
        <v>1995</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1996</v>
      </c>
      <c r="C18" s="6" t="s">
        <v>1997</v>
      </c>
      <c r="D18" s="6" t="s">
        <v>1996</v>
      </c>
      <c r="E18" s="6" t="s">
        <v>1998</v>
      </c>
      <c r="F18" s="6" t="s">
        <v>1999</v>
      </c>
      <c r="G18" s="6" t="s">
        <v>2000</v>
      </c>
      <c r="H18" s="6" t="s">
        <v>2001</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393</v>
      </c>
      <c r="C19" s="4" t="s">
        <v>2002</v>
      </c>
      <c r="D19" s="4" t="s">
        <v>393</v>
      </c>
      <c r="E19" s="4" t="s">
        <v>2003</v>
      </c>
      <c r="F19" s="4" t="s">
        <v>2004</v>
      </c>
      <c r="G19" s="4" t="s">
        <v>2005</v>
      </c>
      <c r="H19" s="4" t="s">
        <v>2006</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1914</v>
      </c>
      <c r="C20" s="6" t="s">
        <v>2007</v>
      </c>
      <c r="D20" s="6" t="s">
        <v>1914</v>
      </c>
      <c r="E20" s="6" t="s">
        <v>2008</v>
      </c>
      <c r="F20" s="6" t="s">
        <v>2009</v>
      </c>
      <c r="G20" s="6" t="s">
        <v>2010</v>
      </c>
      <c r="H20" s="6" t="s">
        <v>2011</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63" customWidth="1"/>
    <col min="2" max="2" width="32" customWidth="1"/>
    <col min="3" max="3" width="15" customWidth="1"/>
    <col min="4" max="4" width="30" customWidth="1"/>
    <col min="5" max="5" width="31" customWidth="1"/>
    <col min="6" max="6" width="34" customWidth="1"/>
    <col min="7" max="7" width="15" customWidth="1"/>
    <col min="8" max="8" width="17" customWidth="1"/>
    <col min="9" max="11" width="15" customWidth="1"/>
    <col min="12" max="12" width="17" customWidth="1"/>
    <col min="13" max="13" width="39" customWidth="1"/>
    <col min="14" max="14" width="63" customWidth="1"/>
    <col min="15" max="15" width="15" customWidth="1"/>
    <col min="16" max="16" width="16" customWidth="1"/>
    <col min="17" max="35" width="15" customWidth="1"/>
  </cols>
  <sheetData>
    <row r="1" ht="24" customHeight="1" spans="1:35" x14ac:dyDescent="0.25">
      <c r="A1" s="8" t="s">
        <v>117</v>
      </c>
      <c r="B1" s="8" t="s">
        <v>1551</v>
      </c>
    </row>
    <row r="3" spans="1:35" x14ac:dyDescent="0.25">
      <c r="A3" s="1" t="s">
        <v>2012</v>
      </c>
    </row>
    <row r="4" spans="1:35" x14ac:dyDescent="0.25">
      <c r="A4" s="2" t="s">
        <v>2013</v>
      </c>
    </row>
    <row r="5" ht="26" customHeight="1" spans="1:35" s="11" customFormat="1" x14ac:dyDescent="0.25">
      <c r="A5" s="11" t="s">
        <v>2</v>
      </c>
      <c r="B5" s="11" t="s">
        <v>2014</v>
      </c>
      <c r="C5" s="11" t="s">
        <v>2015</v>
      </c>
      <c r="D5" s="11" t="s">
        <v>2016</v>
      </c>
      <c r="E5" s="11" t="s">
        <v>2017</v>
      </c>
      <c r="F5" s="11" t="s">
        <v>2018</v>
      </c>
      <c r="G5" s="11" t="s">
        <v>121</v>
      </c>
      <c r="H5" s="11" t="s">
        <v>2019</v>
      </c>
      <c r="I5" s="11" t="s">
        <v>2020</v>
      </c>
      <c r="J5" s="11" t="s">
        <v>2021</v>
      </c>
      <c r="K5" s="11" t="s">
        <v>2022</v>
      </c>
      <c r="L5" s="11" t="s">
        <v>2023</v>
      </c>
      <c r="M5" s="11" t="s">
        <v>2024</v>
      </c>
      <c r="N5" s="11" t="s">
        <v>2025</v>
      </c>
      <c r="O5" s="11" t="s">
        <v>2026</v>
      </c>
      <c r="P5" s="11" t="s">
        <v>2027</v>
      </c>
      <c r="Q5" s="11"/>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2028</v>
      </c>
      <c r="C6" s="4" t="s">
        <v>2029</v>
      </c>
      <c r="D6" s="4" t="s">
        <v>2030</v>
      </c>
      <c r="E6" s="4" t="s">
        <v>2031</v>
      </c>
      <c r="F6" s="4" t="s">
        <v>2032</v>
      </c>
      <c r="G6" s="4">
        <v>11</v>
      </c>
      <c r="H6" s="4">
        <v>0</v>
      </c>
      <c r="I6" s="4" t="s">
        <v>2033</v>
      </c>
      <c r="J6" s="4" t="s">
        <v>2034</v>
      </c>
      <c r="K6" s="4" t="s">
        <v>2035</v>
      </c>
      <c r="L6" s="4" t="s">
        <v>2036</v>
      </c>
      <c r="M6" s="5" t="s">
        <v>2037</v>
      </c>
      <c r="N6" s="4" t="s">
        <v>2038</v>
      </c>
      <c r="O6" s="4" t="s">
        <v>2039</v>
      </c>
      <c r="P6" s="4" t="s">
        <v>2040</v>
      </c>
      <c r="Q6" s="4"/>
      <c r="R6" s="4"/>
      <c r="S6" s="4"/>
      <c r="T6" s="4"/>
      <c r="U6" s="4"/>
      <c r="V6" s="4"/>
      <c r="W6" s="4"/>
      <c r="X6" s="4"/>
      <c r="Y6" s="4"/>
      <c r="Z6" s="4"/>
      <c r="AA6" s="4"/>
      <c r="AB6" s="4"/>
      <c r="AC6" s="4"/>
      <c r="AD6" s="4"/>
      <c r="AE6" s="4"/>
      <c r="AF6" s="4"/>
      <c r="AG6" s="4"/>
      <c r="AH6" s="4"/>
      <c r="AI6" s="4"/>
    </row>
    <row r="7" ht="24" customHeight="1" spans="1:35" s="4" customFormat="1" x14ac:dyDescent="0.25">
      <c r="A7" s="6">
        <v>2</v>
      </c>
      <c r="B7" s="6" t="s">
        <v>2041</v>
      </c>
      <c r="C7" s="6" t="s">
        <v>2029</v>
      </c>
      <c r="D7" s="6" t="s">
        <v>2030</v>
      </c>
      <c r="E7" s="6" t="s">
        <v>2042</v>
      </c>
      <c r="F7" s="6" t="s">
        <v>2043</v>
      </c>
      <c r="G7" s="6">
        <v>12</v>
      </c>
      <c r="H7" s="6">
        <v>0</v>
      </c>
      <c r="I7" s="6" t="s">
        <v>2033</v>
      </c>
      <c r="J7" s="6" t="s">
        <v>2034</v>
      </c>
      <c r="K7" s="6" t="s">
        <v>2035</v>
      </c>
      <c r="L7" s="6" t="s">
        <v>2036</v>
      </c>
      <c r="M7" s="7" t="s">
        <v>2037</v>
      </c>
      <c r="N7" s="6" t="s">
        <v>2038</v>
      </c>
      <c r="O7" s="6" t="s">
        <v>2039</v>
      </c>
      <c r="P7" s="6" t="s">
        <v>2040</v>
      </c>
      <c r="Q7" s="4"/>
      <c r="R7" s="4"/>
      <c r="S7" s="4"/>
      <c r="T7" s="4"/>
      <c r="U7" s="4"/>
      <c r="V7" s="4"/>
      <c r="W7" s="4"/>
      <c r="X7" s="4"/>
      <c r="Y7" s="4"/>
      <c r="Z7" s="4"/>
      <c r="AA7" s="4"/>
      <c r="AB7" s="4"/>
      <c r="AC7" s="4"/>
      <c r="AD7" s="4"/>
      <c r="AE7" s="4"/>
      <c r="AF7" s="4"/>
      <c r="AG7" s="4"/>
      <c r="AH7" s="4"/>
      <c r="AI7" s="4"/>
    </row>
    <row r="8" ht="24" customHeight="1" spans="1:35" s="4" customFormat="1" x14ac:dyDescent="0.25">
      <c r="A8" s="4">
        <v>3</v>
      </c>
      <c r="B8" s="4" t="s">
        <v>2044</v>
      </c>
      <c r="C8" s="4" t="s">
        <v>2029</v>
      </c>
      <c r="D8" s="4" t="s">
        <v>2030</v>
      </c>
      <c r="E8" s="4" t="s">
        <v>2045</v>
      </c>
      <c r="F8" s="4" t="s">
        <v>2046</v>
      </c>
      <c r="G8" s="4">
        <v>48</v>
      </c>
      <c r="H8" s="4">
        <v>0</v>
      </c>
      <c r="I8" s="4" t="s">
        <v>2033</v>
      </c>
      <c r="J8" s="4" t="s">
        <v>2034</v>
      </c>
      <c r="K8" s="4" t="s">
        <v>2035</v>
      </c>
      <c r="L8" s="4" t="s">
        <v>2036</v>
      </c>
      <c r="M8" s="5" t="s">
        <v>2037</v>
      </c>
      <c r="N8" s="4" t="s">
        <v>2038</v>
      </c>
      <c r="O8" s="4" t="s">
        <v>2039</v>
      </c>
      <c r="P8" s="4" t="s">
        <v>2040</v>
      </c>
      <c r="Q8" s="4"/>
      <c r="R8" s="4"/>
      <c r="S8" s="4"/>
      <c r="T8" s="4"/>
      <c r="U8" s="4"/>
      <c r="V8" s="4"/>
      <c r="W8" s="4"/>
      <c r="X8" s="4"/>
      <c r="Y8" s="4"/>
      <c r="Z8" s="4"/>
      <c r="AA8" s="4"/>
      <c r="AB8" s="4"/>
      <c r="AC8" s="4"/>
      <c r="AD8" s="4"/>
      <c r="AE8" s="4"/>
      <c r="AF8" s="4"/>
      <c r="AG8" s="4"/>
      <c r="AH8" s="4"/>
      <c r="AI8" s="4"/>
    </row>
    <row r="9" ht="24" customHeight="1" spans="1:35" s="4" customFormat="1" x14ac:dyDescent="0.25">
      <c r="A9" s="6">
        <v>4</v>
      </c>
      <c r="B9" s="6" t="s">
        <v>2047</v>
      </c>
      <c r="C9" s="6" t="s">
        <v>2029</v>
      </c>
      <c r="D9" s="6" t="s">
        <v>2030</v>
      </c>
      <c r="E9" s="6" t="s">
        <v>2048</v>
      </c>
      <c r="F9" s="6" t="s">
        <v>2049</v>
      </c>
      <c r="G9" s="6">
        <v>0</v>
      </c>
      <c r="H9" s="6">
        <v>0</v>
      </c>
      <c r="I9" s="6" t="s">
        <v>2050</v>
      </c>
      <c r="J9" s="6" t="s">
        <v>2051</v>
      </c>
      <c r="K9" s="6" t="s">
        <v>2035</v>
      </c>
      <c r="L9" s="6" t="s">
        <v>2036</v>
      </c>
      <c r="M9" s="7" t="s">
        <v>2037</v>
      </c>
      <c r="N9" s="6" t="s">
        <v>2038</v>
      </c>
      <c r="O9" s="6" t="s">
        <v>2039</v>
      </c>
      <c r="P9" s="6" t="s">
        <v>2040</v>
      </c>
      <c r="Q9" s="4"/>
      <c r="R9" s="4"/>
      <c r="S9" s="4"/>
      <c r="T9" s="4"/>
      <c r="U9" s="4"/>
      <c r="V9" s="4"/>
      <c r="W9" s="4"/>
      <c r="X9" s="4"/>
      <c r="Y9" s="4"/>
      <c r="Z9" s="4"/>
      <c r="AA9" s="4"/>
      <c r="AB9" s="4"/>
      <c r="AC9" s="4"/>
      <c r="AD9" s="4"/>
      <c r="AE9" s="4"/>
      <c r="AF9" s="4"/>
      <c r="AG9" s="4"/>
      <c r="AH9" s="4"/>
      <c r="AI9" s="4"/>
    </row>
    <row r="10" ht="24" customHeight="1" spans="1:35" s="4" customFormat="1" x14ac:dyDescent="0.25">
      <c r="A10" s="4">
        <v>5</v>
      </c>
      <c r="B10" s="4" t="s">
        <v>2052</v>
      </c>
      <c r="C10" s="4" t="s">
        <v>2029</v>
      </c>
      <c r="D10" s="4" t="s">
        <v>2053</v>
      </c>
      <c r="E10" s="4" t="s">
        <v>2054</v>
      </c>
      <c r="F10" s="4" t="s">
        <v>2055</v>
      </c>
      <c r="G10" s="4">
        <v>0</v>
      </c>
      <c r="H10" s="4">
        <v>0</v>
      </c>
      <c r="I10" s="4" t="s">
        <v>2050</v>
      </c>
      <c r="J10" s="4" t="s">
        <v>2051</v>
      </c>
      <c r="K10" s="4" t="s">
        <v>2035</v>
      </c>
      <c r="L10" s="4" t="s">
        <v>2036</v>
      </c>
      <c r="M10" s="5" t="s">
        <v>2056</v>
      </c>
      <c r="N10" s="4" t="s">
        <v>2057</v>
      </c>
      <c r="O10" s="4" t="s">
        <v>2039</v>
      </c>
      <c r="P10" s="4" t="s">
        <v>2040</v>
      </c>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2058</v>
      </c>
      <c r="C11" s="6" t="s">
        <v>2029</v>
      </c>
      <c r="D11" s="6" t="s">
        <v>2053</v>
      </c>
      <c r="E11" s="6" t="s">
        <v>2059</v>
      </c>
      <c r="F11" s="6" t="s">
        <v>2060</v>
      </c>
      <c r="G11" s="6">
        <v>0</v>
      </c>
      <c r="H11" s="6">
        <v>0</v>
      </c>
      <c r="I11" s="6" t="s">
        <v>2050</v>
      </c>
      <c r="J11" s="6" t="s">
        <v>2051</v>
      </c>
      <c r="K11" s="6" t="s">
        <v>2035</v>
      </c>
      <c r="L11" s="6" t="s">
        <v>2036</v>
      </c>
      <c r="M11" s="7" t="s">
        <v>2056</v>
      </c>
      <c r="N11" s="6" t="s">
        <v>2061</v>
      </c>
      <c r="O11" s="6" t="s">
        <v>2039</v>
      </c>
      <c r="P11" s="6" t="s">
        <v>2040</v>
      </c>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7</v>
      </c>
      <c r="B12" s="4" t="s">
        <v>2062</v>
      </c>
      <c r="C12" s="4" t="s">
        <v>2029</v>
      </c>
      <c r="D12" s="4" t="s">
        <v>2063</v>
      </c>
      <c r="E12" s="4" t="s">
        <v>2064</v>
      </c>
      <c r="F12" s="4" t="s">
        <v>2065</v>
      </c>
      <c r="G12" s="4">
        <v>846</v>
      </c>
      <c r="H12" s="4">
        <v>790</v>
      </c>
      <c r="I12" s="4" t="s">
        <v>2066</v>
      </c>
      <c r="J12" s="4" t="s">
        <v>2034</v>
      </c>
      <c r="K12" s="4" t="s">
        <v>284</v>
      </c>
      <c r="L12" s="4" t="s">
        <v>2036</v>
      </c>
      <c r="M12" s="5" t="s">
        <v>562</v>
      </c>
      <c r="N12" s="4" t="s">
        <v>2067</v>
      </c>
      <c r="O12" s="4" t="s">
        <v>2039</v>
      </c>
      <c r="P12" s="4" t="s">
        <v>2040</v>
      </c>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8</v>
      </c>
      <c r="B13" s="6" t="s">
        <v>2068</v>
      </c>
      <c r="C13" s="6" t="s">
        <v>2029</v>
      </c>
      <c r="D13" s="6" t="s">
        <v>2063</v>
      </c>
      <c r="E13" s="6" t="s">
        <v>2069</v>
      </c>
      <c r="F13" s="6" t="s">
        <v>2070</v>
      </c>
      <c r="G13" s="6">
        <v>168</v>
      </c>
      <c r="H13" s="6">
        <v>140</v>
      </c>
      <c r="I13" s="6" t="s">
        <v>2071</v>
      </c>
      <c r="J13" s="6" t="s">
        <v>2072</v>
      </c>
      <c r="K13" s="6" t="s">
        <v>284</v>
      </c>
      <c r="L13" s="6" t="s">
        <v>2036</v>
      </c>
      <c r="M13" s="7" t="s">
        <v>2073</v>
      </c>
      <c r="N13" s="6" t="s">
        <v>2074</v>
      </c>
      <c r="O13" s="6" t="s">
        <v>2039</v>
      </c>
      <c r="P13" s="6" t="s">
        <v>2040</v>
      </c>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9</v>
      </c>
      <c r="B14" s="4" t="s">
        <v>2075</v>
      </c>
      <c r="C14" s="4" t="s">
        <v>2029</v>
      </c>
      <c r="D14" s="4" t="s">
        <v>2063</v>
      </c>
      <c r="E14" s="4" t="s">
        <v>2076</v>
      </c>
      <c r="F14" s="4" t="s">
        <v>2077</v>
      </c>
      <c r="G14" s="4">
        <v>564</v>
      </c>
      <c r="H14" s="4">
        <v>510</v>
      </c>
      <c r="I14" s="4" t="s">
        <v>2078</v>
      </c>
      <c r="J14" s="4" t="s">
        <v>2034</v>
      </c>
      <c r="K14" s="4" t="s">
        <v>284</v>
      </c>
      <c r="L14" s="4" t="s">
        <v>2036</v>
      </c>
      <c r="M14" s="5" t="s">
        <v>2079</v>
      </c>
      <c r="N14" s="4" t="s">
        <v>2080</v>
      </c>
      <c r="O14" s="4" t="s">
        <v>2039</v>
      </c>
      <c r="P14" s="4" t="s">
        <v>2040</v>
      </c>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10</v>
      </c>
      <c r="B15" s="6" t="s">
        <v>2081</v>
      </c>
      <c r="C15" s="6" t="s">
        <v>2029</v>
      </c>
      <c r="D15" s="6" t="s">
        <v>2082</v>
      </c>
      <c r="E15" s="6" t="s">
        <v>2083</v>
      </c>
      <c r="F15" s="6" t="s">
        <v>2084</v>
      </c>
      <c r="G15" s="6">
        <v>84.5</v>
      </c>
      <c r="H15" s="6">
        <v>80</v>
      </c>
      <c r="I15" s="6" t="s">
        <v>2085</v>
      </c>
      <c r="J15" s="6" t="s">
        <v>2051</v>
      </c>
      <c r="K15" s="6" t="s">
        <v>284</v>
      </c>
      <c r="L15" s="6" t="s">
        <v>2086</v>
      </c>
      <c r="M15" s="7" t="s">
        <v>2087</v>
      </c>
      <c r="N15" s="6" t="s">
        <v>2088</v>
      </c>
      <c r="O15" s="6" t="s">
        <v>2039</v>
      </c>
      <c r="P15" s="6" t="s">
        <v>2040</v>
      </c>
      <c r="Q15" s="4"/>
      <c r="R15" s="4"/>
      <c r="S15" s="4"/>
      <c r="T15" s="4"/>
      <c r="U15" s="4"/>
      <c r="V15" s="4"/>
      <c r="W15" s="4"/>
      <c r="X15" s="4"/>
      <c r="Y15" s="4"/>
      <c r="Z15" s="4"/>
      <c r="AA15" s="4"/>
      <c r="AB15" s="4"/>
      <c r="AC15" s="4"/>
      <c r="AD15" s="4"/>
      <c r="AE15" s="4"/>
      <c r="AF15" s="4"/>
      <c r="AG15" s="4"/>
      <c r="AH15" s="4"/>
      <c r="AI15" s="4"/>
    </row>
  </sheetData>
  <dataValidations count="2">
    <dataValidation type="list" allowBlank="1" sqref="O10:O15">
      <formula1>"OPEN,REVIEW,APPROVED,REJECTED,PARTIAL,PARKED,DONE"</formula1>
    </dataValidation>
    <dataValidation type="list" allowBlank="1" sqref="O6:O15">
      <formula1>"OPEN,REVIEW,APPROVED,REJECTED,PARTIAL,PARKED,DONE"</formula1>
    </dataValidation>
  </dataValidations>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28" customWidth="1"/>
    <col min="3" max="3" width="18" customWidth="1"/>
    <col min="4" max="5" width="63" customWidth="1"/>
    <col min="6" max="6" width="35" customWidth="1"/>
    <col min="7" max="8" width="17" customWidth="1"/>
    <col min="9" max="9" width="18" customWidth="1"/>
    <col min="10" max="11" width="15" customWidth="1"/>
    <col min="12" max="12" width="63" customWidth="1"/>
    <col min="13" max="13" width="15" customWidth="1"/>
    <col min="14" max="14" width="16" customWidth="1"/>
    <col min="15" max="15" width="63" customWidth="1"/>
    <col min="16" max="35" width="15" customWidth="1"/>
  </cols>
  <sheetData>
    <row r="1" ht="24" customHeight="1" spans="1:35" x14ac:dyDescent="0.25">
      <c r="A1" s="8" t="s">
        <v>117</v>
      </c>
      <c r="B1" s="8" t="s">
        <v>1196</v>
      </c>
    </row>
    <row r="3" spans="1:35" x14ac:dyDescent="0.25">
      <c r="A3" s="1" t="s">
        <v>2089</v>
      </c>
    </row>
    <row r="4" spans="1:35" x14ac:dyDescent="0.25">
      <c r="A4" s="2" t="s">
        <v>2090</v>
      </c>
    </row>
    <row r="5" ht="26" customHeight="1" spans="1:35" s="11" customFormat="1" x14ac:dyDescent="0.25">
      <c r="A5" s="11" t="s">
        <v>2</v>
      </c>
      <c r="B5" s="11" t="s">
        <v>2091</v>
      </c>
      <c r="C5" s="11" t="s">
        <v>5</v>
      </c>
      <c r="D5" s="11" t="s">
        <v>2092</v>
      </c>
      <c r="E5" s="11" t="s">
        <v>7</v>
      </c>
      <c r="F5" s="11" t="s">
        <v>2093</v>
      </c>
      <c r="G5" s="11" t="s">
        <v>2094</v>
      </c>
      <c r="H5" s="11" t="s">
        <v>2095</v>
      </c>
      <c r="I5" s="11" t="s">
        <v>2096</v>
      </c>
      <c r="J5" s="11" t="s">
        <v>2022</v>
      </c>
      <c r="K5" s="11" t="s">
        <v>2097</v>
      </c>
      <c r="L5" s="11" t="s">
        <v>2098</v>
      </c>
      <c r="M5" s="11" t="s">
        <v>2026</v>
      </c>
      <c r="N5" s="11" t="s">
        <v>2027</v>
      </c>
      <c r="O5" s="11" t="s">
        <v>2025</v>
      </c>
      <c r="P5" s="11" t="s">
        <v>2099</v>
      </c>
      <c r="Q5" s="11" t="s">
        <v>2100</v>
      </c>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2101</v>
      </c>
      <c r="C6" s="4" t="s">
        <v>2102</v>
      </c>
      <c r="D6" s="4" t="s">
        <v>2103</v>
      </c>
      <c r="E6" s="4" t="s">
        <v>2104</v>
      </c>
      <c r="F6" s="4" t="s">
        <v>2105</v>
      </c>
      <c r="G6" s="4">
        <v>85</v>
      </c>
      <c r="H6" s="4">
        <v>15</v>
      </c>
      <c r="I6" s="4">
        <v>80</v>
      </c>
      <c r="J6" s="4">
        <v>0.9</v>
      </c>
      <c r="K6" s="4" t="s">
        <v>1560</v>
      </c>
      <c r="L6" s="4" t="s">
        <v>2106</v>
      </c>
      <c r="M6" s="4" t="s">
        <v>2039</v>
      </c>
      <c r="N6" s="4" t="s">
        <v>2040</v>
      </c>
      <c r="O6" s="4" t="s">
        <v>2107</v>
      </c>
      <c r="P6" s="4" t="s">
        <v>2029</v>
      </c>
      <c r="Q6" s="4" t="s">
        <v>2029</v>
      </c>
      <c r="R6" s="4"/>
      <c r="S6" s="4"/>
      <c r="T6" s="4"/>
      <c r="U6" s="4"/>
      <c r="V6" s="4"/>
      <c r="W6" s="4"/>
      <c r="X6" s="4"/>
      <c r="Y6" s="4"/>
      <c r="Z6" s="4"/>
      <c r="AA6" s="4"/>
      <c r="AB6" s="4"/>
      <c r="AC6" s="4"/>
      <c r="AD6" s="4"/>
      <c r="AE6" s="4"/>
      <c r="AF6" s="4"/>
      <c r="AG6" s="4"/>
      <c r="AH6" s="4"/>
      <c r="AI6" s="4"/>
    </row>
    <row r="7" ht="24" customHeight="1" spans="1:35" s="4" customFormat="1" x14ac:dyDescent="0.25">
      <c r="A7" s="6">
        <v>2</v>
      </c>
      <c r="B7" s="6" t="s">
        <v>2108</v>
      </c>
      <c r="C7" s="6" t="s">
        <v>2109</v>
      </c>
      <c r="D7" s="6" t="s">
        <v>2110</v>
      </c>
      <c r="E7" s="6" t="s">
        <v>2111</v>
      </c>
      <c r="F7" s="6" t="s">
        <v>2112</v>
      </c>
      <c r="G7" s="6">
        <v>90</v>
      </c>
      <c r="H7" s="6">
        <v>25</v>
      </c>
      <c r="I7" s="6">
        <v>85</v>
      </c>
      <c r="J7" s="6">
        <v>0.88</v>
      </c>
      <c r="K7" s="6" t="s">
        <v>546</v>
      </c>
      <c r="L7" s="6" t="s">
        <v>2113</v>
      </c>
      <c r="M7" s="6" t="s">
        <v>2039</v>
      </c>
      <c r="N7" s="6" t="s">
        <v>2040</v>
      </c>
      <c r="O7" s="6" t="s">
        <v>2114</v>
      </c>
      <c r="P7" s="6" t="s">
        <v>2029</v>
      </c>
      <c r="Q7" s="6" t="s">
        <v>2029</v>
      </c>
      <c r="R7" s="4"/>
      <c r="S7" s="4"/>
      <c r="T7" s="4"/>
      <c r="U7" s="4"/>
      <c r="V7" s="4"/>
      <c r="W7" s="4"/>
      <c r="X7" s="4"/>
      <c r="Y7" s="4"/>
      <c r="Z7" s="4"/>
      <c r="AA7" s="4"/>
      <c r="AB7" s="4"/>
      <c r="AC7" s="4"/>
      <c r="AD7" s="4"/>
      <c r="AE7" s="4"/>
      <c r="AF7" s="4"/>
      <c r="AG7" s="4"/>
      <c r="AH7" s="4"/>
      <c r="AI7" s="4"/>
    </row>
    <row r="8" ht="24" customHeight="1" spans="1:35" s="4" customFormat="1" x14ac:dyDescent="0.25">
      <c r="A8" s="4">
        <v>3</v>
      </c>
      <c r="B8" s="4" t="s">
        <v>2115</v>
      </c>
      <c r="C8" s="4" t="s">
        <v>2116</v>
      </c>
      <c r="D8" s="4" t="s">
        <v>2117</v>
      </c>
      <c r="E8" s="4" t="s">
        <v>2118</v>
      </c>
      <c r="F8" s="4" t="s">
        <v>2119</v>
      </c>
      <c r="G8" s="4">
        <v>82</v>
      </c>
      <c r="H8" s="4">
        <v>20</v>
      </c>
      <c r="I8" s="4">
        <v>75</v>
      </c>
      <c r="J8" s="4">
        <v>0.92</v>
      </c>
      <c r="K8" s="4" t="s">
        <v>1560</v>
      </c>
      <c r="L8" s="4" t="s">
        <v>2120</v>
      </c>
      <c r="M8" s="4" t="s">
        <v>2039</v>
      </c>
      <c r="N8" s="4" t="s">
        <v>2040</v>
      </c>
      <c r="O8" s="4" t="s">
        <v>2121</v>
      </c>
      <c r="P8" s="4" t="s">
        <v>2029</v>
      </c>
      <c r="Q8" s="4" t="s">
        <v>2029</v>
      </c>
      <c r="R8" s="4"/>
      <c r="S8" s="4"/>
      <c r="T8" s="4"/>
      <c r="U8" s="4"/>
      <c r="V8" s="4"/>
      <c r="W8" s="4"/>
      <c r="X8" s="4"/>
      <c r="Y8" s="4"/>
      <c r="Z8" s="4"/>
      <c r="AA8" s="4"/>
      <c r="AB8" s="4"/>
      <c r="AC8" s="4"/>
      <c r="AD8" s="4"/>
      <c r="AE8" s="4"/>
      <c r="AF8" s="4"/>
      <c r="AG8" s="4"/>
      <c r="AH8" s="4"/>
      <c r="AI8" s="4"/>
    </row>
    <row r="9" ht="24" customHeight="1" spans="1:35" s="4" customFormat="1" x14ac:dyDescent="0.25">
      <c r="A9" s="6">
        <v>4</v>
      </c>
      <c r="B9" s="6" t="s">
        <v>2122</v>
      </c>
      <c r="C9" s="6" t="s">
        <v>2123</v>
      </c>
      <c r="D9" s="6" t="s">
        <v>2124</v>
      </c>
      <c r="E9" s="6" t="s">
        <v>2125</v>
      </c>
      <c r="F9" s="6" t="s">
        <v>2068</v>
      </c>
      <c r="G9" s="6">
        <v>78</v>
      </c>
      <c r="H9" s="6">
        <v>15</v>
      </c>
      <c r="I9" s="6">
        <v>70</v>
      </c>
      <c r="J9" s="6">
        <v>0.85</v>
      </c>
      <c r="K9" s="6" t="s">
        <v>1560</v>
      </c>
      <c r="L9" s="6" t="s">
        <v>2126</v>
      </c>
      <c r="M9" s="6" t="s">
        <v>2039</v>
      </c>
      <c r="N9" s="6" t="s">
        <v>2040</v>
      </c>
      <c r="O9" s="6" t="s">
        <v>2127</v>
      </c>
      <c r="P9" s="6" t="s">
        <v>2029</v>
      </c>
      <c r="Q9" s="6" t="s">
        <v>2029</v>
      </c>
      <c r="R9" s="4"/>
      <c r="S9" s="4"/>
      <c r="T9" s="4"/>
      <c r="U9" s="4"/>
      <c r="V9" s="4"/>
      <c r="W9" s="4"/>
      <c r="X9" s="4"/>
      <c r="Y9" s="4"/>
      <c r="Z9" s="4"/>
      <c r="AA9" s="4"/>
      <c r="AB9" s="4"/>
      <c r="AC9" s="4"/>
      <c r="AD9" s="4"/>
      <c r="AE9" s="4"/>
      <c r="AF9" s="4"/>
      <c r="AG9" s="4"/>
      <c r="AH9" s="4"/>
      <c r="AI9" s="4"/>
    </row>
    <row r="10" ht="24" customHeight="1" spans="1:35" s="4" customFormat="1" x14ac:dyDescent="0.25">
      <c r="A10" s="4">
        <v>5</v>
      </c>
      <c r="B10" s="4" t="s">
        <v>2128</v>
      </c>
      <c r="C10" s="4" t="s">
        <v>2129</v>
      </c>
      <c r="D10" s="4" t="s">
        <v>2130</v>
      </c>
      <c r="E10" s="4" t="s">
        <v>2131</v>
      </c>
      <c r="F10" s="4" t="s">
        <v>2132</v>
      </c>
      <c r="G10" s="4">
        <v>70</v>
      </c>
      <c r="H10" s="4">
        <v>10</v>
      </c>
      <c r="I10" s="4">
        <v>60</v>
      </c>
      <c r="J10" s="4">
        <v>0.95</v>
      </c>
      <c r="K10" s="4" t="s">
        <v>1635</v>
      </c>
      <c r="L10" s="4" t="s">
        <v>2133</v>
      </c>
      <c r="M10" s="4" t="s">
        <v>2039</v>
      </c>
      <c r="N10" s="4" t="s">
        <v>2040</v>
      </c>
      <c r="O10" s="4" t="s">
        <v>2134</v>
      </c>
      <c r="P10" s="4" t="s">
        <v>2029</v>
      </c>
      <c r="Q10" s="4" t="s">
        <v>2029</v>
      </c>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2135</v>
      </c>
      <c r="C11" s="6" t="s">
        <v>2129</v>
      </c>
      <c r="D11" s="6" t="s">
        <v>2136</v>
      </c>
      <c r="E11" s="6" t="s">
        <v>2137</v>
      </c>
      <c r="F11" s="6" t="s">
        <v>2138</v>
      </c>
      <c r="G11" s="6">
        <v>70</v>
      </c>
      <c r="H11" s="6">
        <v>10</v>
      </c>
      <c r="I11" s="6">
        <v>60</v>
      </c>
      <c r="J11" s="6">
        <v>0.95</v>
      </c>
      <c r="K11" s="6" t="s">
        <v>1635</v>
      </c>
      <c r="L11" s="6" t="s">
        <v>2139</v>
      </c>
      <c r="M11" s="6" t="s">
        <v>2039</v>
      </c>
      <c r="N11" s="6" t="s">
        <v>2040</v>
      </c>
      <c r="O11" s="6" t="s">
        <v>2140</v>
      </c>
      <c r="P11" s="6" t="s">
        <v>2029</v>
      </c>
      <c r="Q11" s="6" t="s">
        <v>2029</v>
      </c>
      <c r="R11" s="4"/>
      <c r="S11" s="4"/>
      <c r="T11" s="4"/>
      <c r="U11" s="4"/>
      <c r="V11" s="4"/>
      <c r="W11" s="4"/>
      <c r="X11" s="4"/>
      <c r="Y11" s="4"/>
      <c r="Z11" s="4"/>
      <c r="AA11" s="4"/>
      <c r="AB11" s="4"/>
      <c r="AC11" s="4"/>
      <c r="AD11" s="4"/>
      <c r="AE11" s="4"/>
      <c r="AF11" s="4"/>
      <c r="AG11" s="4"/>
      <c r="AH11" s="4"/>
      <c r="AI11" s="4"/>
    </row>
  </sheetData>
  <dataValidations count="2">
    <dataValidation type="list" allowBlank="1" sqref="M10:M11">
      <formula1>"OPEN,REVIEW,APPROVED,REJECTED,PARTIAL,PARKED,DONE"</formula1>
    </dataValidation>
    <dataValidation type="list" allowBlank="1" sqref="M6:M11">
      <formula1>"OPEN,REVIEW,APPROVED,REJECTED,PARTIAL,PARKED,DONE"</formula1>
    </dataValidation>
  </dataValidations>
  <hyperlinks>
    <hyperlink ref="A1" r:id="rId1" location="#'P-00 INDEX'!A1"/>
    <hyperlink ref="B1" r:id="rId2" location="#'P-Work'!A1"/>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P-00 INDEX</vt:lpstr>
      <vt:lpstr>P-Dashboard</vt:lpstr>
      <vt:lpstr>P-Charter</vt:lpstr>
      <vt:lpstr>P-Utilities</vt:lpstr>
      <vt:lpstr>P-Work</vt:lpstr>
      <vt:lpstr>P-Research</vt:lpstr>
      <vt:lpstr>P-Releases</vt:lpstr>
      <vt:lpstr>P-Contexts</vt:lpstr>
      <vt:lpstr>P-Sessions</vt:lpstr>
      <vt:lpstr>C-Reviews</vt:lpstr>
      <vt:lpstr>C-Changes</vt:lpstr>
      <vt:lpstr>C-TestCases</vt:lpstr>
      <vt:lpstr>C-SEO</vt:lpstr>
      <vt:lpstr>C-Trust</vt:lpstr>
      <vt:lpstr>C-Candidates</vt:lpstr>
      <vt:lpstr>C-Competitors</vt:lpstr>
      <vt:lpstr>C-SearchIntel</vt:lpstr>
      <vt:lpstr>C-Widgets</vt:lpstr>
      <vt:lpstr>C-WidgetCategories</vt:lpstr>
      <vt:lpstr>C-GrowthObservations</vt:lpstr>
      <vt:lpstr>C-GrowthOpportunities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Antigravity Control Center Engine</dc:creator>
  <dc:title/>
  <dc:subject/>
  <dc:description/>
  <cp:keywords/>
  <cp:category/>
  <cp:lastModifiedBy>Antigravity CLI</cp:lastModifiedBy>
  <dcterms:created xsi:type="dcterms:W3CDTF">2026-08-25T04:00:00Z</dcterms:created>
  <dcterms:modified xsi:type="dcterms:W3CDTF">2026-08-26T01:50:34Z</dcterms:modified>
</cp:coreProperties>
</file>