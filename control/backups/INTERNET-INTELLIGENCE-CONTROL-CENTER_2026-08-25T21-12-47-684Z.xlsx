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-00 INDEX" state="visible" r:id="rId4"/>
    <sheet sheetId="2" name="P-DASHBOARD" state="visible" r:id="rId5"/>
    <sheet sheetId="3" name="P-CHARTER" state="visible" r:id="rId6"/>
    <sheet sheetId="4" name="P-DOMAINS" state="visible" r:id="rId7"/>
    <sheet sheetId="5" name="P-ENTITIES" state="visible" r:id="rId8"/>
    <sheet sheetId="6" name="P-SOURCES" state="visible" r:id="rId9"/>
    <sheet sheetId="7" name="P-SENSORS" state="visible" r:id="rId10"/>
    <sheet sheetId="8" name="P-COLLECTION" state="visible" r:id="rId11"/>
    <sheet sheetId="9" name="P-METRICS" state="visible" r:id="rId12"/>
    <sheet sheetId="10" name="P-TRENDS" state="visible" r:id="rId13"/>
    <sheet sheetId="11" name="P-OPPORTUNITIES" state="visible" r:id="rId14"/>
    <sheet sheetId="12" name="P-COMPETITORS" state="visible" r:id="rId15"/>
    <sheet sheetId="13" name="P-SEARCH_INTEL" state="visible" r:id="rId16"/>
    <sheet sheetId="14" name="P-GEOGRAPHY" state="visible" r:id="rId17"/>
    <sheet sheetId="15" name="P-ALERTS" state="visible" r:id="rId18"/>
    <sheet sheetId="16" name="P-RECOMMENDATIONS" state="visible" r:id="rId19"/>
    <sheet sheetId="17" name="P-DECISIONS" state="visible" r:id="rId20"/>
    <sheet sheetId="18" name="P-SESSIONS" state="visible" r:id="rId21"/>
  </sheets>
  <calcPr calcId="171027"/>
</workbook>
</file>

<file path=xl/sharedStrings.xml><?xml version="1.0" encoding="utf-8"?>
<sst xmlns="http://schemas.openxmlformats.org/spreadsheetml/2006/main" count="929" uniqueCount="602">
  <si>
    <t>Internet Intelligence — Canonical Sensor Fabric Control Center Index</t>
  </si>
  <si>
    <t>Operational Control Master for Internet Sensor Fabric V1 with UTL.tools as first consumer.</t>
  </si>
  <si>
    <t>SN</t>
  </si>
  <si>
    <t>Code</t>
  </si>
  <si>
    <t>Sheet Name</t>
  </si>
  <si>
    <t>Type</t>
  </si>
  <si>
    <t>Parent</t>
  </si>
  <si>
    <t>Description</t>
  </si>
  <si>
    <t>Record Count</t>
  </si>
  <si>
    <t>Direct Navigation</t>
  </si>
  <si>
    <t>P-00</t>
  </si>
  <si>
    <t>P-00 INDEX</t>
  </si>
  <si>
    <t>ROOT</t>
  </si>
  <si>
    <t>Canonical navigation directory registering all 18 worksheets.</t>
  </si>
  <si>
    <t>18 Sheets</t>
  </si>
  <si>
    <t>Open P-00 INDEX ➡️</t>
  </si>
  <si>
    <t>P-01</t>
  </si>
  <si>
    <t>P-DASHBOARD</t>
  </si>
  <si>
    <t>Executive KPI dashboard, sensor health, telemetry, top opportunities.</t>
  </si>
  <si>
    <t>Formula KPIs</t>
  </si>
  <si>
    <t>Open P-DASHBOARD ➡️</t>
  </si>
  <si>
    <t>P-02</t>
  </si>
  <si>
    <t>P-CHARTER</t>
  </si>
  <si>
    <t>Sensor Fabric mission, principles, epistemic rules, and ethical boundaries.</t>
  </si>
  <si>
    <t>Charter Doc</t>
  </si>
  <si>
    <t>Open P-CHARTER ➡️</t>
  </si>
  <si>
    <t>P-03</t>
  </si>
  <si>
    <t>P-DOMAINS</t>
  </si>
  <si>
    <t>16 Recognized Intelligence Domains.</t>
  </si>
  <si>
    <t>16 Domains</t>
  </si>
  <si>
    <t>Open P-DOMAINS ➡️</t>
  </si>
  <si>
    <t>P-04</t>
  </si>
  <si>
    <t>P-ENTITIES</t>
  </si>
  <si>
    <t>Monitored entity registry (websites, search queries, tools, countries).</t>
  </si>
  <si>
    <t>12 Entities</t>
  </si>
  <si>
    <t>Open P-ENTITIES ➡️</t>
  </si>
  <si>
    <t>P-05</t>
  </si>
  <si>
    <t>P-SOURCES</t>
  </si>
  <si>
    <t>Concentration points &amp; data sources (APIs, probes, estimators).</t>
  </si>
  <si>
    <t>6 Sources</t>
  </si>
  <si>
    <t>Open P-SOURCES ➡️</t>
  </si>
  <si>
    <t>P-06</t>
  </si>
  <si>
    <t>P-SENSORS</t>
  </si>
  <si>
    <t>Sensor registry with cadences, rate limits, and confidence tiers.</t>
  </si>
  <si>
    <t>5 Sensors</t>
  </si>
  <si>
    <t>Open P-SENSORS ➡️</t>
  </si>
  <si>
    <t>P-07</t>
  </si>
  <si>
    <t>P-COLLECTION</t>
  </si>
  <si>
    <t>Collection execution status and reliability state ledger.</t>
  </si>
  <si>
    <t>Collection Runs</t>
  </si>
  <si>
    <t>Open P-COLLECTION ➡️</t>
  </si>
  <si>
    <t>P-08</t>
  </si>
  <si>
    <t>P-METRICS</t>
  </si>
  <si>
    <t>Metric taxonomy, units of measure, and data types.</t>
  </si>
  <si>
    <t>Metric Definitions</t>
  </si>
  <si>
    <t>Open P-METRICS ➡️</t>
  </si>
  <si>
    <t>P-09</t>
  </si>
  <si>
    <t>P-TRENDS</t>
  </si>
  <si>
    <t>Immutable historical time-series observation trends &amp; anomalies.</t>
  </si>
  <si>
    <t>5 Observations</t>
  </si>
  <si>
    <t>Open P-TRENDS ➡️</t>
  </si>
  <si>
    <t>P-10</t>
  </si>
  <si>
    <t>P-OPPORTUNITIES</t>
  </si>
  <si>
    <t>Ranked opportunity queue generated by Opportunity Engine.</t>
  </si>
  <si>
    <t>3 Opportunities</t>
  </si>
  <si>
    <t>Open P-OPPORTUNITIES ➡️</t>
  </si>
  <si>
    <t>P-11</t>
  </si>
  <si>
    <t>P-COMPETITORS</t>
  </si>
  <si>
    <t>Monitored competitors (mylocation.org, plaintoolbox.com, top10k.com).</t>
  </si>
  <si>
    <t>Competitor Sites</t>
  </si>
  <si>
    <t>Open P-COMPETITORS ➡️</t>
  </si>
  <si>
    <t>P-12</t>
  </si>
  <si>
    <t>P-SEARCH_INTEL</t>
  </si>
  <si>
    <t>SERP positions, search intent, and keyword demand signals.</t>
  </si>
  <si>
    <t>Search Records</t>
  </si>
  <si>
    <t>Open P-SEARCH_INTEL ➡️</t>
  </si>
  <si>
    <t>P-13</t>
  </si>
  <si>
    <t>P-GEOGRAPHY</t>
  </si>
  <si>
    <t>Country &amp; regional language demand distribution.</t>
  </si>
  <si>
    <t>Country Insights</t>
  </si>
  <si>
    <t>Open P-GEOGRAPHY ➡️</t>
  </si>
  <si>
    <t>P-14</t>
  </si>
  <si>
    <t>P-ALERTS</t>
  </si>
  <si>
    <t>Automated alert triggers (traffic anomalies, rank shifts, sensor failures).</t>
  </si>
  <si>
    <t>Alert Queue</t>
  </si>
  <si>
    <t>Open P-ALERTS ➡️</t>
  </si>
  <si>
    <t>P-15</t>
  </si>
  <si>
    <t>P-RECOMMENDATIONS</t>
  </si>
  <si>
    <t>Actionable recommendations mapped to evidence.</t>
  </si>
  <si>
    <t>Recommendations</t>
  </si>
  <si>
    <t>Open P-RECOMMENDATIONS ➡️</t>
  </si>
  <si>
    <t>P-16</t>
  </si>
  <si>
    <t>P-DECISIONS</t>
  </si>
  <si>
    <t>Human operator decision log &amp; governance sign-offs.</t>
  </si>
  <si>
    <t>Operator Sign-offs</t>
  </si>
  <si>
    <t>Open P-DECISIONS ➡️</t>
  </si>
  <si>
    <t>P-17</t>
  </si>
  <si>
    <t>P-SESSIONS</t>
  </si>
  <si>
    <t>Persistent agent session ledger &amp; operating contexts.</t>
  </si>
  <si>
    <t>Session History</t>
  </si>
  <si>
    <t>Open P-SESSIONS ➡️</t>
  </si>
  <si>
    <t>⬅️ Back to P-00 INDEX</t>
  </si>
  <si>
    <t>Internet Intelligence — Executive Control Dashboard</t>
  </si>
  <si>
    <t>Live state overview, sensor health, telemetry, and top opportunity pipeline.</t>
  </si>
  <si>
    <t>Metric</t>
  </si>
  <si>
    <t>Value</t>
  </si>
  <si>
    <t>Derived From / Source</t>
  </si>
  <si>
    <t>Direct Link</t>
  </si>
  <si>
    <t>Sensor Fabric Status</t>
  </si>
  <si>
    <t>OPERATIONAL &amp; ACTIVE (V1.0)</t>
  </si>
  <si>
    <t>System Verification</t>
  </si>
  <si>
    <t>View Charter</t>
  </si>
  <si>
    <t>First Monitored Consumer</t>
  </si>
  <si>
    <t>UTL.tools (https://utl.tools)</t>
  </si>
  <si>
    <t>Application Client</t>
  </si>
  <si>
    <t>Open UTL Site</t>
  </si>
  <si>
    <t>Recognized Intelligence Domains</t>
  </si>
  <si>
    <t>P-DOMAINS Registry</t>
  </si>
  <si>
    <t>View Domains</t>
  </si>
  <si>
    <t>Monitored Entities</t>
  </si>
  <si>
    <t>P-ENTITIES Registry</t>
  </si>
  <si>
    <t>View Entities</t>
  </si>
  <si>
    <t>Data Sources &amp; Concentration Points</t>
  </si>
  <si>
    <t>P-SOURCES Registry</t>
  </si>
  <si>
    <t>View Sources</t>
  </si>
  <si>
    <t>Active Probes / Sensors</t>
  </si>
  <si>
    <t>P-SENSORS Registry</t>
  </si>
  <si>
    <t>View Sensors</t>
  </si>
  <si>
    <t>Healthy Sensors (0 Failures)</t>
  </si>
  <si>
    <t>P-SENSORS Health</t>
  </si>
  <si>
    <t>Verify Sensors</t>
  </si>
  <si>
    <t>Historical Observations</t>
  </si>
  <si>
    <t>P-TRENDS Time-Series</t>
  </si>
  <si>
    <t>View Observations</t>
  </si>
  <si>
    <t>Ranked Opportunities in Queue</t>
  </si>
  <si>
    <t>P-OPPORTUNITIES Engine</t>
  </si>
  <si>
    <t>View Opportunities</t>
  </si>
  <si>
    <t>Approved P0 Opportunities</t>
  </si>
  <si>
    <t>P-OPPORTUNITIES Approval</t>
  </si>
  <si>
    <t>View Approved P0</t>
  </si>
  <si>
    <t>Monitored Competitors</t>
  </si>
  <si>
    <t>P-COMPETITORS Registry</t>
  </si>
  <si>
    <t>View Competitors</t>
  </si>
  <si>
    <t>Primary Data Telemetry GA4 ID</t>
  </si>
  <si>
    <t>G-H2G4BK9Y36 (Client-Side Safe)</t>
  </si>
  <si>
    <t>GA4 Measurement API</t>
  </si>
  <si>
    <t>View UTL Site</t>
  </si>
  <si>
    <t>Google Search Console Property</t>
  </si>
  <si>
    <t>https://utl.tools (Verified)</t>
  </si>
  <si>
    <t>Search Console API</t>
  </si>
  <si>
    <t>View Sitemap</t>
  </si>
  <si>
    <t>Primary Master Control Workbook</t>
  </si>
  <si>
    <t>control/INTERNET-INTELLIGENCE-CONTROL-CENTER.xlsx</t>
  </si>
  <si>
    <t>Canonical Intelligence Master</t>
  </si>
  <si>
    <t>Return to Index</t>
  </si>
  <si>
    <t>UTL Production Control Link</t>
  </si>
  <si>
    <t>control/UTL-CONTROL-CENTER.xlsx</t>
  </si>
  <si>
    <t>UTL App Master</t>
  </si>
  <si>
    <t>View UTL Control</t>
  </si>
  <si>
    <t>Internet Intelligence — Sensor Fabric Charter &amp; Governance</t>
  </si>
  <si>
    <t>Core architectural principles, epistemic rules, and ethical collection standards.</t>
  </si>
  <si>
    <t>Principle / Standard</t>
  </si>
  <si>
    <t>Category</t>
  </si>
  <si>
    <t>Operational Governance Directive</t>
  </si>
  <si>
    <t>Conceptual Architecture Flow</t>
  </si>
  <si>
    <t>Pipeline</t>
  </si>
  <si>
    <t>PUBLIC INTERNET → DOMAINS → CONCENTRATION POINTS → SENSORS → OBSERVATIONS → TIME SERIES → RELATIONSHIPS → SENSOR FUSION → INTELLIGENCE → RECOMMENDATIONS.</t>
  </si>
  <si>
    <t>Domain-Agnostic Reusability</t>
  </si>
  <si>
    <t>Architecture</t>
  </si>
  <si>
    <t>The Sensor Fabric is completely decoupled from UTL.tools. Future tools (SaaS, AI, Windows Widgets, Medical) consume the fabric as clients.</t>
  </si>
  <si>
    <t>Fact vs. Inference Strictness</t>
  </si>
  <si>
    <t>Epistemic</t>
  </si>
  <si>
    <t>Every observation explicitly tags facts, estimates, inferences, and recommendations. Never present an estimate as a verified fact.</t>
  </si>
  <si>
    <t>Provenance &amp; Auditability</t>
  </si>
  <si>
    <t>Data Standard</t>
  </si>
  <si>
    <t>All observations must retain source, source_url, collection_method, timestamps, freshness, and confidence tier.</t>
  </si>
  <si>
    <t>Historical Time-Series Integrity</t>
  </si>
  <si>
    <t>Observations are immutable time-series entries. Data is never overwritten, enabling growth, acceleration, and anomaly calculation.</t>
  </si>
  <si>
    <t>Collection Reliability Governance</t>
  </si>
  <si>
    <t>Reliability</t>
  </si>
  <si>
    <t>Collection failure (AUTH_FAILED, RATE_LIMITED) must NEVER be interpreted as zero traffic or disappearance of an entity.</t>
  </si>
  <si>
    <t>Ethical &amp; Legal Compliance</t>
  </si>
  <si>
    <t>Ethics</t>
  </si>
  <si>
    <t>Only public signals and authorized APIs are observed. Zero paywall evasion, credential bypass, or personal dossier creation.</t>
  </si>
  <si>
    <t>Human Operator Governance</t>
  </si>
  <si>
    <t>Control</t>
  </si>
  <si>
    <t>All intelligence models produce ranked candidate queues. Implementation requires human operator sign-off via Control Center.</t>
  </si>
  <si>
    <t>P-DOMAINS — 16 Recognized Intelligence Domains (16 Total)</t>
  </si>
  <si>
    <t>domain_id</t>
  </si>
  <si>
    <t>domain_name</t>
  </si>
  <si>
    <t>description</t>
  </si>
  <si>
    <t>status</t>
  </si>
  <si>
    <t>documentation_link</t>
  </si>
  <si>
    <t>traffic</t>
  </si>
  <si>
    <t>Traffic Intelligence</t>
  </si>
  <si>
    <t>Measures visitor volume, pageviews, session duration, device breakdown, and referral channels.</t>
  </si>
  <si>
    <t>ACTIVE</t>
  </si>
  <si>
    <t>View Model Doc ➡️</t>
  </si>
  <si>
    <t>search</t>
  </si>
  <si>
    <t>Search Intelligence</t>
  </si>
  <si>
    <t>Tracks search query volume, SERP rankings, CTR, search intent, and organic impressions.</t>
  </si>
  <si>
    <t>content</t>
  </si>
  <si>
    <t>Content Intelligence</t>
  </si>
  <si>
    <t>Audits published page counts, topic density, content completeness, and FAQ coverage.</t>
  </si>
  <si>
    <t>domain</t>
  </si>
  <si>
    <t>Domain Intelligence</t>
  </si>
  <si>
    <t>Monitors DNS records, WHOIS registration dates, SSL certificates, and subdomains.</t>
  </si>
  <si>
    <t>people</t>
  </si>
  <si>
    <t>People Intelligence</t>
  </si>
  <si>
    <t>Tracks public author attributions, open-source maintainers, and public organization roles.</t>
  </si>
  <si>
    <t>company</t>
  </si>
  <si>
    <t>Company Intelligence</t>
  </si>
  <si>
    <t>Monitors corporate profiles, product portfolios, technology stacks, and business scale.</t>
  </si>
  <si>
    <t>research</t>
  </si>
  <si>
    <t>Research Intelligence</t>
  </si>
  <si>
    <t>Tracks published preprints, academic papers, citations, and scientific dataset releases.</t>
  </si>
  <si>
    <t>technology</t>
  </si>
  <si>
    <t>Technology Intelligence</t>
  </si>
  <si>
    <t>Monitors open-source GitHub repositories, npm package downloads, Web APIs, and frameworks.</t>
  </si>
  <si>
    <t>product</t>
  </si>
  <si>
    <t>Product Intelligence</t>
  </si>
  <si>
    <t>Audits feature sets, pricing tiers, release notes, and user satisfaction signals.</t>
  </si>
  <si>
    <t>social</t>
  </si>
  <si>
    <t>Social Intelligence</t>
  </si>
  <si>
    <t>Monitors public discussions, social media mention volume, and community sentiment shifts.</t>
  </si>
  <si>
    <t>community</t>
  </si>
  <si>
    <t>Community Intelligence</t>
  </si>
  <si>
    <t>Tracks public forum activity (Reddit, Hacker News, Stack Overflow) and Q&amp;A density.</t>
  </si>
  <si>
    <t>geographic</t>
  </si>
  <si>
    <t>Geographic Intelligence</t>
  </si>
  <si>
    <t>Analyzes country-level traffic distribution, regional demand, and localization opportunities.</t>
  </si>
  <si>
    <t>economic</t>
  </si>
  <si>
    <t>Economic Intelligence</t>
  </si>
  <si>
    <t>Measures industry advertising CPC rates, monetization models, and market spend.</t>
  </si>
  <si>
    <t>knowledge</t>
  </si>
  <si>
    <t>Knowledge Intelligence</t>
  </si>
  <si>
    <t>Audits Wikipedia references, ontology term coverage, and technical documentation depth.</t>
  </si>
  <si>
    <t>authority</t>
  </si>
  <si>
    <t>Authority Intelligence</t>
  </si>
  <si>
    <t>Measures domain rating, backlink quantity/quality, and authoritative citation counts.</t>
  </si>
  <si>
    <t>trend</t>
  </si>
  <si>
    <t>Trend Intelligence</t>
  </si>
  <si>
    <t>Calculates signal velocity, acceleration, search interest spikes, and seasonal trends.</t>
  </si>
  <si>
    <t>P-ENTITIES — Monitored Entity Registry (12 Total)</t>
  </si>
  <si>
    <t>entity_id</t>
  </si>
  <si>
    <t>entity_name</t>
  </si>
  <si>
    <t>type</t>
  </si>
  <si>
    <t>ENT-001</t>
  </si>
  <si>
    <t>UTL.tools</t>
  </si>
  <si>
    <t>website</t>
  </si>
  <si>
    <t>utl.tools</t>
  </si>
  <si>
    <t>Primary consumer application for free online utilities.</t>
  </si>
  <si>
    <t>ENT-002</t>
  </si>
  <si>
    <t>mylocation.org</t>
  </si>
  <si>
    <t>Public IP &amp; location competitor website.</t>
  </si>
  <si>
    <t>ENT-003</t>
  </si>
  <si>
    <t>plaintoolbox.com</t>
  </si>
  <si>
    <t>Public online developer toolbox competitor website.</t>
  </si>
  <si>
    <t>ENT-004</t>
  </si>
  <si>
    <t>top10k.com</t>
  </si>
  <si>
    <t>Public high-traffic utility aggregator site.</t>
  </si>
  <si>
    <t>ENT-005</t>
  </si>
  <si>
    <t>10015.io</t>
  </si>
  <si>
    <t>All-in-one online tool competitor.</t>
  </si>
  <si>
    <t>ENT-006</t>
  </si>
  <si>
    <t>diff-checker</t>
  </si>
  <si>
    <t>utility</t>
  </si>
  <si>
    <t>developer</t>
  </si>
  <si>
    <t>Side-by-side text diff checking utility.</t>
  </si>
  <si>
    <t>ENT-007</t>
  </si>
  <si>
    <t>json-formatter</t>
  </si>
  <si>
    <t>JSON formatting &amp; validation utility.</t>
  </si>
  <si>
    <t>ENT-008</t>
  </si>
  <si>
    <t>password-generator</t>
  </si>
  <si>
    <t>security</t>
  </si>
  <si>
    <t>Web Crypto password generator.</t>
  </si>
  <si>
    <t>ENT-009</t>
  </si>
  <si>
    <t>talking-alarm-clock</t>
  </si>
  <si>
    <t>fun</t>
  </si>
  <si>
    <t>W3C Web Speech synthesis alarm clock.</t>
  </si>
  <si>
    <t>ENT-010</t>
  </si>
  <si>
    <t>diff checker online</t>
  </si>
  <si>
    <t>search_query</t>
  </si>
  <si>
    <t>High-volume evergreen developer search term.</t>
  </si>
  <si>
    <t>ENT-011</t>
  </si>
  <si>
    <t>United States</t>
  </si>
  <si>
    <t>country</t>
  </si>
  <si>
    <t>Primary geographical market.</t>
  </si>
  <si>
    <t>ENT-012</t>
  </si>
  <si>
    <t>Google Analytics 4</t>
  </si>
  <si>
    <t>Web analytics telemetry platform.</t>
  </si>
  <si>
    <t>P-SOURCES — Concentration Points &amp; Data Sources (6 Total)</t>
  </si>
  <si>
    <t>source_id</t>
  </si>
  <si>
    <t>source_name</t>
  </si>
  <si>
    <t>endpoint</t>
  </si>
  <si>
    <t>concentration_point</t>
  </si>
  <si>
    <t>auth_required</t>
  </si>
  <si>
    <t>rate_limit</t>
  </si>
  <si>
    <t>SRC-GA4</t>
  </si>
  <si>
    <t>Google Analytics 4 API</t>
  </si>
  <si>
    <t>AUTHENTICATED_API</t>
  </si>
  <si>
    <t>https://analyticsdata.googleapis.com/v1beta</t>
  </si>
  <si>
    <t>UTL.tools Telemetry</t>
  </si>
  <si>
    <t>YES</t>
  </si>
  <si>
    <t>120 req/min</t>
  </si>
  <si>
    <t>SRC-GSC</t>
  </si>
  <si>
    <t>Google Search Console API</t>
  </si>
  <si>
    <t>https://www.googleapis.com/webmasters/v3</t>
  </si>
  <si>
    <t>UTL.tools Search Indexing</t>
  </si>
  <si>
    <t>60 req/min</t>
  </si>
  <si>
    <t>SRC-SERP</t>
  </si>
  <si>
    <t>Public Search Engine Results Probes</t>
  </si>
  <si>
    <t>PUBLIC_PROBE</t>
  </si>
  <si>
    <t>https://www.google.com/search</t>
  </si>
  <si>
    <t>Organic SERP Listings</t>
  </si>
  <si>
    <t>NO</t>
  </si>
  <si>
    <t>10 req/min</t>
  </si>
  <si>
    <t>SRC-SIMILARWEB</t>
  </si>
  <si>
    <t>SimilarWeb Public Benchmarks</t>
  </si>
  <si>
    <t>PUBLIC_ESTIMATOR</t>
  </si>
  <si>
    <t>https://www.similarweb.com/website</t>
  </si>
  <si>
    <t>Competitor Web Traffic</t>
  </si>
  <si>
    <t>5 req/min</t>
  </si>
  <si>
    <t>SRC-GITHUB</t>
  </si>
  <si>
    <t>GitHub REST API v3</t>
  </si>
  <si>
    <t>PUBLIC_API</t>
  </si>
  <si>
    <t>https://api.github.com</t>
  </si>
  <si>
    <t>Open Source Repositories &amp; Packages</t>
  </si>
  <si>
    <t>60 req/hour</t>
  </si>
  <si>
    <t>SRC-OPENALEX</t>
  </si>
  <si>
    <t>OpenAlex Scholarly API</t>
  </si>
  <si>
    <t>https://api.openalex.org</t>
  </si>
  <si>
    <t>Academic Publications &amp; Preprints</t>
  </si>
  <si>
    <t>100 req/min</t>
  </si>
  <si>
    <t>P-SENSORS — Repeatable Sensor Probe Registry (5 Total)</t>
  </si>
  <si>
    <t>sensor_id</t>
  </si>
  <si>
    <t>sensor_type</t>
  </si>
  <si>
    <t>metric</t>
  </si>
  <si>
    <t>source</t>
  </si>
  <si>
    <t>collection_method</t>
  </si>
  <si>
    <t>cadence</t>
  </si>
  <si>
    <t>enabled</t>
  </si>
  <si>
    <t>cost</t>
  </si>
  <si>
    <t>freshness</t>
  </si>
  <si>
    <t>confidence</t>
  </si>
  <si>
    <t>failure_count</t>
  </si>
  <si>
    <t>notes</t>
  </si>
  <si>
    <t>SNR-UTL-GA4-001</t>
  </si>
  <si>
    <t>volume</t>
  </si>
  <si>
    <t>GA4 Telemetry (G-H2G4BK9Y36)</t>
  </si>
  <si>
    <t>daily_pageviews</t>
  </si>
  <si>
    <t>API_CLIENT_REST</t>
  </si>
  <si>
    <t>DAILY</t>
  </si>
  <si>
    <t>TRUE</t>
  </si>
  <si>
    <t>FREE</t>
  </si>
  <si>
    <t>120_REQ_MIN</t>
  </si>
  <si>
    <t>24H</t>
  </si>
  <si>
    <t>VERY_HIGH</t>
  </si>
  <si>
    <t>Direct measured pageview facts for UTL.tools</t>
  </si>
  <si>
    <t>SNR-UTL-GSC-002</t>
  </si>
  <si>
    <t>intent</t>
  </si>
  <si>
    <t>Search Console (https://utl.tools)</t>
  </si>
  <si>
    <t>search_impressions</t>
  </si>
  <si>
    <t>60_REQ_MIN</t>
  </si>
  <si>
    <t>Direct search impression and query rankings</t>
  </si>
  <si>
    <t>SNR-COMP-TRAF-001</t>
  </si>
  <si>
    <t>competition</t>
  </si>
  <si>
    <t>Public Traffic Benchmarks</t>
  </si>
  <si>
    <t>monthly_visit_estimate</t>
  </si>
  <si>
    <t>WEEKLY</t>
  </si>
  <si>
    <t>5_REQ_MIN</t>
  </si>
  <si>
    <t>7D</t>
  </si>
  <si>
    <t>MEDIUM</t>
  </si>
  <si>
    <t>Public traffic estimates for mylocation.org, top10k.com, plaintoolbox.com</t>
  </si>
  <si>
    <t>SNR-SERP-INTEL-001</t>
  </si>
  <si>
    <t>presence</t>
  </si>
  <si>
    <t>Google SERP Probes</t>
  </si>
  <si>
    <t>utl_serp_position</t>
  </si>
  <si>
    <t>10_REQ_MIN</t>
  </si>
  <si>
    <t>HIGH</t>
  </si>
  <si>
    <t>SERP position tracking for top 50 developer queries</t>
  </si>
  <si>
    <t>SNR-TECH-GITHUB-001</t>
  </si>
  <si>
    <t>velocity</t>
  </si>
  <si>
    <t>GitHub API</t>
  </si>
  <si>
    <t>open_source_repo_stars</t>
  </si>
  <si>
    <t>60_REQ_HOUR</t>
  </si>
  <si>
    <t>Developer utility library star velocity</t>
  </si>
  <si>
    <t>P-COLLECTION — Collection Execution Log &amp; Reliability State Ledger</t>
  </si>
  <si>
    <t>run_id</t>
  </si>
  <si>
    <t>timestamp</t>
  </si>
  <si>
    <t>records_collected</t>
  </si>
  <si>
    <t>duration_ms</t>
  </si>
  <si>
    <t>failure_reason</t>
  </si>
  <si>
    <t>schema_shift</t>
  </si>
  <si>
    <t>RUN-20260825-001</t>
  </si>
  <si>
    <t>2026-08-25T12:00:00Z</t>
  </si>
  <si>
    <t>SUCCESS</t>
  </si>
  <si>
    <t>None</t>
  </si>
  <si>
    <t>RUN-20260825-002</t>
  </si>
  <si>
    <t>RUN-20260825-003</t>
  </si>
  <si>
    <t>RUN-20260825-004</t>
  </si>
  <si>
    <t>RUN-20260825-005</t>
  </si>
  <si>
    <t>P-METRICS — Metric Taxonomy &amp; Unit Definitions</t>
  </si>
  <si>
    <t>metric_id</t>
  </si>
  <si>
    <t>metric_name</t>
  </si>
  <si>
    <t>unit</t>
  </si>
  <si>
    <t>data_type</t>
  </si>
  <si>
    <t>epistemic_default</t>
  </si>
  <si>
    <t>MET-001</t>
  </si>
  <si>
    <t>count</t>
  </si>
  <si>
    <t>INTEGER</t>
  </si>
  <si>
    <t>FACT</t>
  </si>
  <si>
    <t>Total measured page loads per 24h period</t>
  </si>
  <si>
    <t>MET-002</t>
  </si>
  <si>
    <t>daily_active_users</t>
  </si>
  <si>
    <t>users</t>
  </si>
  <si>
    <t>Unique measured visitors per day</t>
  </si>
  <si>
    <t>MET-003</t>
  </si>
  <si>
    <t>visits</t>
  </si>
  <si>
    <t>ESTIMATE</t>
  </si>
  <si>
    <t>Modeled third-party web traffic estimate</t>
  </si>
  <si>
    <t>MET-004</t>
  </si>
  <si>
    <t>serp_position</t>
  </si>
  <si>
    <t>rank</t>
  </si>
  <si>
    <t>Google SERP organic ranking position</t>
  </si>
  <si>
    <t>MET-005</t>
  </si>
  <si>
    <t>Search Console measured search impressions</t>
  </si>
  <si>
    <t>MET-006</t>
  </si>
  <si>
    <t>stars</t>
  </si>
  <si>
    <t>GitHub repository star count</t>
  </si>
  <si>
    <t>P-TRENDS — Immutable Historical Time-Series Observations (5 Total)</t>
  </si>
  <si>
    <t>id</t>
  </si>
  <si>
    <t>epistemic_type</t>
  </si>
  <si>
    <t>value</t>
  </si>
  <si>
    <t>collected_at</t>
  </si>
  <si>
    <t>OBS-20260825-001</t>
  </si>
  <si>
    <t>GA4 API (G-H2G4BK9Y36)</t>
  </si>
  <si>
    <t>OBS-20260825-002</t>
  </si>
  <si>
    <t>daily_impressions</t>
  </si>
  <si>
    <t>Google Search Console</t>
  </si>
  <si>
    <t>OBS-20260825-003</t>
  </si>
  <si>
    <t>OBS-20260825-004</t>
  </si>
  <si>
    <t>OBS-20260825-005</t>
  </si>
  <si>
    <t>Google SERP Probe</t>
  </si>
  <si>
    <t>P-OPPORTUNITIES — Opportunity Engine Ranked Queue (3 Total)</t>
  </si>
  <si>
    <t>opportunity_id</t>
  </si>
  <si>
    <t>target_entity</t>
  </si>
  <si>
    <t>candidate_name</t>
  </si>
  <si>
    <t>priority</t>
  </si>
  <si>
    <t>opportunity_score</t>
  </si>
  <si>
    <t>demand_score</t>
  </si>
  <si>
    <t>growth_score</t>
  </si>
  <si>
    <t>intent_match</t>
  </si>
  <si>
    <t>competition_gap</t>
  </si>
  <si>
    <t>geo_potential</t>
  </si>
  <si>
    <t>complexity</t>
  </si>
  <si>
    <t>reviewer_status</t>
  </si>
  <si>
    <t>strategic_rationale</t>
  </si>
  <si>
    <t>OPP-UTL-001</t>
  </si>
  <si>
    <t>ENT-006 (Diff Checker)</t>
  </si>
  <si>
    <t>Diff Checker Side-by-Side Character Comparison Upgrade</t>
  </si>
  <si>
    <t>P0</t>
  </si>
  <si>
    <t>APPROVED</t>
  </si>
  <si>
    <t>High search volume (diff checker online) + ad-heavy competitor legacy tools = maximum ROI.</t>
  </si>
  <si>
    <t>OPP-UTL-002</t>
  </si>
  <si>
    <t>JSON to TypeScript Interface Generator</t>
  </si>
  <si>
    <t>P1</t>
  </si>
  <si>
    <t>PENDING</t>
  </si>
  <si>
    <t>Strong developer demand signal across npm and GitHub; 100% client-side conversion capability.</t>
  </si>
  <si>
    <t>OPP-UTL-003</t>
  </si>
  <si>
    <t>JWT Debugger &amp; Decoder</t>
  </si>
  <si>
    <t>JWT (JSON Web Token) Debugger</t>
  </si>
  <si>
    <t>Developers require client-side privacy for secret tokens; existing online tools store tokens.</t>
  </si>
  <si>
    <t>P-COMPETITORS — Monitored Public Competitors &amp; Market Benchmarks</t>
  </si>
  <si>
    <t>competitor_id</t>
  </si>
  <si>
    <t>monthly_visits_est</t>
  </si>
  <si>
    <t>top_category</t>
  </si>
  <si>
    <t>primary_strength</t>
  </si>
  <si>
    <t>vulnerability_gap</t>
  </si>
  <si>
    <t>last_checked</t>
  </si>
  <si>
    <t>CMP-001</t>
  </si>
  <si>
    <t>1,800,000</t>
  </si>
  <si>
    <t>network</t>
  </si>
  <si>
    <t>High authority IP queries</t>
  </si>
  <si>
    <t>Ad-heavy 2010s UI layout</t>
  </si>
  <si>
    <t>2026-08-25</t>
  </si>
  <si>
    <t>CMP-002</t>
  </si>
  <si>
    <t>420,000</t>
  </si>
  <si>
    <t>Developer tool aggregation</t>
  </si>
  <si>
    <t>Lacks mobile responsiveness</t>
  </si>
  <si>
    <t>CMP-003</t>
  </si>
  <si>
    <t>950,000</t>
  </si>
  <si>
    <t>utilities</t>
  </si>
  <si>
    <t>Broad web utility directory</t>
  </si>
  <si>
    <t>Slow client hydration &amp; tracking popups</t>
  </si>
  <si>
    <t>CMP-004</t>
  </si>
  <si>
    <t>800,000</t>
  </si>
  <si>
    <t>all-in-one</t>
  </si>
  <si>
    <t>Sleek utility UI cards</t>
  </si>
  <si>
    <t>Contains intrusive banner ads</t>
  </si>
  <si>
    <t>CMP-005</t>
  </si>
  <si>
    <t>omnicalculator.com</t>
  </si>
  <si>
    <t>15,000,000</t>
  </si>
  <si>
    <t>calculators</t>
  </si>
  <si>
    <t>Programmatic SEO volume</t>
  </si>
  <si>
    <t>Slow page load &amp; ad clutter</t>
  </si>
  <si>
    <t>P-SEARCH_INTEL — Search Intent, SERP Positions, and Intent Signals</t>
  </si>
  <si>
    <t>query_id</t>
  </si>
  <si>
    <t>monthly_volume_est</t>
  </si>
  <si>
    <t>intent_type</t>
  </si>
  <si>
    <t>serp_feature_density</t>
  </si>
  <si>
    <t>utl_position</t>
  </si>
  <si>
    <t>QRY-001</t>
  </si>
  <si>
    <t>INFORMATIONAL</t>
  </si>
  <si>
    <t>QRY-002</t>
  </si>
  <si>
    <t>json formatter validator</t>
  </si>
  <si>
    <t>QRY-003</t>
  </si>
  <si>
    <t>talking alarm clock</t>
  </si>
  <si>
    <t>UTILITY_DIRECT</t>
  </si>
  <si>
    <t>LOW</t>
  </si>
  <si>
    <t>QRY-004</t>
  </si>
  <si>
    <t>unit converter metric imperial</t>
  </si>
  <si>
    <t>QRY-005</t>
  </si>
  <si>
    <t>what is my ip address</t>
  </si>
  <si>
    <t>P-GEOGRAPHY — Country &amp; Language Demand Distribution</t>
  </si>
  <si>
    <t>country_code</t>
  </si>
  <si>
    <t>country_name</t>
  </si>
  <si>
    <t>primary_language</t>
  </si>
  <si>
    <t>demand_share_pct</t>
  </si>
  <si>
    <t>utl_traffic_share_pct</t>
  </si>
  <si>
    <t>localization_opportunity</t>
  </si>
  <si>
    <t>US</t>
  </si>
  <si>
    <t>English (en-US)</t>
  </si>
  <si>
    <t>42.5%</t>
  </si>
  <si>
    <t>45.0%</t>
  </si>
  <si>
    <t>HIGH (Core Market)</t>
  </si>
  <si>
    <t>GB</t>
  </si>
  <si>
    <t>United Kingdom</t>
  </si>
  <si>
    <t>English (en-GB)</t>
  </si>
  <si>
    <t>12.0%</t>
  </si>
  <si>
    <t>14.2%</t>
  </si>
  <si>
    <t>DE</t>
  </si>
  <si>
    <t>Germany</t>
  </si>
  <si>
    <t>German (de-DE)</t>
  </si>
  <si>
    <t>8.5%</t>
  </si>
  <si>
    <t>4.1%</t>
  </si>
  <si>
    <t>HIGH (Localization Candidate)</t>
  </si>
  <si>
    <t>IN</t>
  </si>
  <si>
    <t>India</t>
  </si>
  <si>
    <t>English (en-IN)</t>
  </si>
  <si>
    <t>15.0%</t>
  </si>
  <si>
    <t>18.5%</t>
  </si>
  <si>
    <t>FR</t>
  </si>
  <si>
    <t>France</t>
  </si>
  <si>
    <t>French (fr-FR)</t>
  </si>
  <si>
    <t>5.5%</t>
  </si>
  <si>
    <t>2.3%</t>
  </si>
  <si>
    <t>MEDIUM (Localization Candidate)</t>
  </si>
  <si>
    <t>P-ALERTS — Automated Intelligence &amp; Sensor Threshold Alert Queue</t>
  </si>
  <si>
    <t>alert_id</t>
  </si>
  <si>
    <t>severity</t>
  </si>
  <si>
    <t>alert_type</t>
  </si>
  <si>
    <t>message</t>
  </si>
  <si>
    <t>ALT-001</t>
  </si>
  <si>
    <t>INFO</t>
  </si>
  <si>
    <t>RANK_IMPROVEMENT</t>
  </si>
  <si>
    <t>UTL Diff Checker moved from #18 to #14 on Google SERP</t>
  </si>
  <si>
    <t>ALT-002</t>
  </si>
  <si>
    <t>NOTICE</t>
  </si>
  <si>
    <t>EMERGING_DEMAND</t>
  </si>
  <si>
    <t>High developer demand signal for JSON to TS Interface Generator</t>
  </si>
  <si>
    <t>P-RECOMMENDATIONS — Actionable Intelligence Recommendations</t>
  </si>
  <si>
    <t>rec_id</t>
  </si>
  <si>
    <t>recommendation</t>
  </si>
  <si>
    <t>evidence_summary</t>
  </si>
  <si>
    <t>REC-001</t>
  </si>
  <si>
    <t>Upgrade Diff Checker with side-by-side character diff highlighting</t>
  </si>
  <si>
    <t>Diff Checker ranking #14; high search intent; 0 ad clutter differentiator</t>
  </si>
  <si>
    <t>REC-002</t>
  </si>
  <si>
    <t>Build JSON to TypeScript Interface Generator in Phase 2</t>
  </si>
  <si>
    <t>npm download growth + search volume index &gt; 80</t>
  </si>
  <si>
    <t>QUEUED</t>
  </si>
  <si>
    <t>P-DECISIONS — Human Operator Decision &amp; Sign-Off Log</t>
  </si>
  <si>
    <t>decision_id</t>
  </si>
  <si>
    <t>date</t>
  </si>
  <si>
    <t>recommendation_id</t>
  </si>
  <si>
    <t>decision</t>
  </si>
  <si>
    <t>human_operator_comment</t>
  </si>
  <si>
    <t>agent_result</t>
  </si>
  <si>
    <t>DEC-001</t>
  </si>
  <si>
    <t>Approved Diff Checker enhancement for next maintenance release</t>
  </si>
  <si>
    <t>Implemented &amp; Deployed v1.2</t>
  </si>
  <si>
    <t>P-SESSIONS — Intelligence Agent Session Registry</t>
  </si>
  <si>
    <t>session_id</t>
  </si>
  <si>
    <t>agent_context</t>
  </si>
  <si>
    <t>conversation_id</t>
  </si>
  <si>
    <t>created_date</t>
  </si>
  <si>
    <t>SES-INTEL-001</t>
  </si>
  <si>
    <t>Internet Intelligence Engine</t>
  </si>
  <si>
    <t>4ab9eb3a-c885-41dd-a79e-c88088d26811</t>
  </si>
  <si>
    <t>2026-08-26</t>
  </si>
  <si>
    <t>Canonical Internet Sensor Fabric V1 Implementation Master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</si>
</sst>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F172A"/>
      <sz val="16"/>
      <name val="Calibri"/>
    </font>
    <font>
      <i/>
      <color rgb="FF475569"/>
      <sz val="12"/>
      <name val="Calibri"/>
    </font>
    <font>
      <b/>
      <color rgb="FFFFFFFF"/>
      <sz val="11"/>
      <name val="Calibri"/>
    </font>
    <font>
      <color rgb="FF0F172A"/>
      <sz val="11"/>
      <name val="Calibri"/>
    </font>
    <font>
      <b/>
      <u/>
      <color rgb="FF2563EB"/>
      <sz val="11"/>
      <name val="Calibri"/>
    </font>
    <font>
      <b/>
      <u/>
      <color rgb="FF1D4ED8"/>
      <sz val="10"/>
      <name val="Calibri"/>
    </font>
    <font>
      <b/>
      <color rgb="FF0F172A"/>
      <sz val="11"/>
      <name val="Calibri"/>
    </font>
    <font>
      <b/>
      <color rgb="FFB45309"/>
      <sz val="11"/>
      <name val="Calibri"/>
    </font>
    <font>
      <b/>
      <color rgb="FF15803D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0" fontId="6" fillId="4" borderId="0" xfId="0" applyFont="1" applyFill="1" applyAlignment="1">
      <alignment horizontal="left" vertical="center"/>
    </xf>
    <xf numFmtId="0" fontId="7" fillId="3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3" borderId="0" xfId="0" applyFont="1" applyFill="1"/>
    <xf numFmtId="0" fontId="9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Relationship Id="rId2" Type="http://schemas.openxmlformats.org/officeDocument/2006/relationships/hyperlink" Target="#&apos;P-DASHBOARD&apos;!A1" TargetMode="External"/><Relationship Id="rId3" Type="http://schemas.openxmlformats.org/officeDocument/2006/relationships/hyperlink" Target="#&apos;P-CHARTER&apos;!A1" TargetMode="External"/><Relationship Id="rId4" Type="http://schemas.openxmlformats.org/officeDocument/2006/relationships/hyperlink" Target="#&apos;P-DOMAINS&apos;!A1" TargetMode="External"/><Relationship Id="rId5" Type="http://schemas.openxmlformats.org/officeDocument/2006/relationships/hyperlink" Target="#&apos;P-ENTITIES&apos;!A1" TargetMode="External"/><Relationship Id="rId6" Type="http://schemas.openxmlformats.org/officeDocument/2006/relationships/hyperlink" Target="#&apos;P-SOURCES&apos;!A1" TargetMode="External"/><Relationship Id="rId7" Type="http://schemas.openxmlformats.org/officeDocument/2006/relationships/hyperlink" Target="#&apos;P-SENSORS&apos;!A1" TargetMode="External"/><Relationship Id="rId8" Type="http://schemas.openxmlformats.org/officeDocument/2006/relationships/hyperlink" Target="#&apos;P-COLLECTION&apos;!A1" TargetMode="External"/><Relationship Id="rId9" Type="http://schemas.openxmlformats.org/officeDocument/2006/relationships/hyperlink" Target="#&apos;P-METRICS&apos;!A1" TargetMode="External"/><Relationship Id="rId10" Type="http://schemas.openxmlformats.org/officeDocument/2006/relationships/hyperlink" Target="#&apos;P-TRENDS&apos;!A1" TargetMode="External"/><Relationship Id="rId11" Type="http://schemas.openxmlformats.org/officeDocument/2006/relationships/hyperlink" Target="#&apos;P-OPPORTUNITIES&apos;!A1" TargetMode="External"/><Relationship Id="rId12" Type="http://schemas.openxmlformats.org/officeDocument/2006/relationships/hyperlink" Target="#&apos;P-COMPETITORS&apos;!A1" TargetMode="External"/><Relationship Id="rId13" Type="http://schemas.openxmlformats.org/officeDocument/2006/relationships/hyperlink" Target="#&apos;P-SEARCH_INTEL&apos;!A1" TargetMode="External"/><Relationship Id="rId14" Type="http://schemas.openxmlformats.org/officeDocument/2006/relationships/hyperlink" Target="#&apos;P-GEOGRAPHY&apos;!A1" TargetMode="External"/><Relationship Id="rId15" Type="http://schemas.openxmlformats.org/officeDocument/2006/relationships/hyperlink" Target="#&apos;P-ALERTS&apos;!A1" TargetMode="External"/><Relationship Id="rId16" Type="http://schemas.openxmlformats.org/officeDocument/2006/relationships/hyperlink" Target="#&apos;P-RECOMMENDATIONS&apos;!A1" TargetMode="External"/><Relationship Id="rId17" Type="http://schemas.openxmlformats.org/officeDocument/2006/relationships/hyperlink" Target="#&apos;P-DECISIONS&apos;!A1" TargetMode="External"/><Relationship Id="rId18" Type="http://schemas.openxmlformats.org/officeDocument/2006/relationships/hyperlink" Target="#&apos;P-SESSION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Relationship Id="rId2" Type="http://schemas.openxmlformats.org/officeDocument/2006/relationships/hyperlink" Target="#&apos;P-CHARTER&apos;!A1" TargetMode="External"/><Relationship Id="rId3" Type="http://schemas.openxmlformats.org/officeDocument/2006/relationships/hyperlink" Target="https://utl.tools" TargetMode="External"/><Relationship Id="rId4" Type="http://schemas.openxmlformats.org/officeDocument/2006/relationships/hyperlink" Target="#&apos;P-DOMAINS&apos;!A1" TargetMode="External"/><Relationship Id="rId5" Type="http://schemas.openxmlformats.org/officeDocument/2006/relationships/hyperlink" Target="#&apos;P-ENTITIES&apos;!A1" TargetMode="External"/><Relationship Id="rId6" Type="http://schemas.openxmlformats.org/officeDocument/2006/relationships/hyperlink" Target="#&apos;P-SOURCES&apos;!A1" TargetMode="External"/><Relationship Id="rId7" Type="http://schemas.openxmlformats.org/officeDocument/2006/relationships/hyperlink" Target="#&apos;P-SENSORS&apos;!A1" TargetMode="External"/><Relationship Id="rId8" Type="http://schemas.openxmlformats.org/officeDocument/2006/relationships/hyperlink" Target="#&apos;P-SENSORS&apos;!A1" TargetMode="External"/><Relationship Id="rId9" Type="http://schemas.openxmlformats.org/officeDocument/2006/relationships/hyperlink" Target="#&apos;P-TRENDS&apos;!A1" TargetMode="External"/><Relationship Id="rId10" Type="http://schemas.openxmlformats.org/officeDocument/2006/relationships/hyperlink" Target="#&apos;P-OPPORTUNITIES&apos;!A1" TargetMode="External"/><Relationship Id="rId11" Type="http://schemas.openxmlformats.org/officeDocument/2006/relationships/hyperlink" Target="#&apos;P-OPPORTUNITIES&apos;!A1" TargetMode="External"/><Relationship Id="rId12" Type="http://schemas.openxmlformats.org/officeDocument/2006/relationships/hyperlink" Target="#&apos;P-COMPETITORS&apos;!A1" TargetMode="External"/><Relationship Id="rId13" Type="http://schemas.openxmlformats.org/officeDocument/2006/relationships/hyperlink" Target="https://utl.tools" TargetMode="External"/><Relationship Id="rId14" Type="http://schemas.openxmlformats.org/officeDocument/2006/relationships/hyperlink" Target="https://utl.tools/sitemap.xml" TargetMode="External"/><Relationship Id="rId15" Type="http://schemas.openxmlformats.org/officeDocument/2006/relationships/hyperlink" Target="#&apos;P-00 INDEX&apos;!A1" TargetMode="External"/><Relationship Id="rId16" Type="http://schemas.openxmlformats.org/officeDocument/2006/relationships/hyperlink" Target="#&apos;P-00 INDEX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Relationship Id="rId2" Type="http://schemas.openxmlformats.org/officeDocument/2006/relationships/hyperlink" Target="https://utl.tools" TargetMode="External"/><Relationship Id="rId3" Type="http://schemas.openxmlformats.org/officeDocument/2006/relationships/hyperlink" Target="https://utl.tools" TargetMode="External"/><Relationship Id="rId4" Type="http://schemas.openxmlformats.org/officeDocument/2006/relationships/hyperlink" Target="https://utl.tools" TargetMode="External"/><Relationship Id="rId5" Type="http://schemas.openxmlformats.org/officeDocument/2006/relationships/hyperlink" Target="https://utl.tools" TargetMode="External"/><Relationship Id="rId6" Type="http://schemas.openxmlformats.org/officeDocument/2006/relationships/hyperlink" Target="https://utl.tools" TargetMode="External"/><Relationship Id="rId7" Type="http://schemas.openxmlformats.org/officeDocument/2006/relationships/hyperlink" Target="https://utl.tools" TargetMode="External"/><Relationship Id="rId8" Type="http://schemas.openxmlformats.org/officeDocument/2006/relationships/hyperlink" Target="https://utl.tools" TargetMode="External"/><Relationship Id="rId9" Type="http://schemas.openxmlformats.org/officeDocument/2006/relationships/hyperlink" Target="https://utl.tools" TargetMode="External"/><Relationship Id="rId10" Type="http://schemas.openxmlformats.org/officeDocument/2006/relationships/hyperlink" Target="https://utl.tools" TargetMode="External"/><Relationship Id="rId11" Type="http://schemas.openxmlformats.org/officeDocument/2006/relationships/hyperlink" Target="https://utl.tools" TargetMode="External"/><Relationship Id="rId12" Type="http://schemas.openxmlformats.org/officeDocument/2006/relationships/hyperlink" Target="https://utl.tools" TargetMode="External"/><Relationship Id="rId13" Type="http://schemas.openxmlformats.org/officeDocument/2006/relationships/hyperlink" Target="https://utl.tools" TargetMode="External"/><Relationship Id="rId14" Type="http://schemas.openxmlformats.org/officeDocument/2006/relationships/hyperlink" Target="https://utl.tools" TargetMode="External"/><Relationship Id="rId15" Type="http://schemas.openxmlformats.org/officeDocument/2006/relationships/hyperlink" Target="https://utl.tools" TargetMode="External"/><Relationship Id="rId16" Type="http://schemas.openxmlformats.org/officeDocument/2006/relationships/hyperlink" Target="https://utl.tools" TargetMode="External"/><Relationship Id="rId17" Type="http://schemas.openxmlformats.org/officeDocument/2006/relationships/hyperlink" Target="https://utl.tools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"/>
  <sheetViews>
    <sheetView workbookViewId="0"/>
  </sheetViews>
  <sheetFormatPr defaultRowHeight="15" outlineLevelRow="0" outlineLevelCol="0" x14ac:dyDescent="55"/>
  <cols>
    <col min="1" max="1" width="63" customWidth="1"/>
    <col min="2" max="2" width="15" customWidth="1"/>
    <col min="3" max="3" width="20" customWidth="1"/>
    <col min="4" max="5" width="15" customWidth="1"/>
    <col min="6" max="6" width="63" customWidth="1"/>
    <col min="7" max="7" width="21" customWidth="1"/>
    <col min="8" max="8" width="28" customWidth="1"/>
    <col min="9" max="30" width="15" customWidth="1"/>
  </cols>
  <sheetData>
    <row r="1" ht="36" customHeight="1" spans="1:30" x14ac:dyDescent="0.25">
      <c r="A1" s="1" t="s">
        <v>0</v>
      </c>
    </row>
    <row r="2" spans="1:30" x14ac:dyDescent="0.25">
      <c r="A2" s="2" t="s">
        <v>1</v>
      </c>
    </row>
    <row r="4" ht="26" customHeight="1" spans="1:30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10</v>
      </c>
      <c r="C5" s="4" t="s">
        <v>11</v>
      </c>
      <c r="D5" s="4" t="s">
        <v>6</v>
      </c>
      <c r="E5" s="4" t="s">
        <v>12</v>
      </c>
      <c r="F5" s="4" t="s">
        <v>13</v>
      </c>
      <c r="G5" s="4" t="s">
        <v>14</v>
      </c>
      <c r="H5" s="5" t="s">
        <v>15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16</v>
      </c>
      <c r="C6" s="6" t="s">
        <v>17</v>
      </c>
      <c r="D6" s="6" t="s">
        <v>6</v>
      </c>
      <c r="E6" s="6" t="s">
        <v>11</v>
      </c>
      <c r="F6" s="6" t="s">
        <v>18</v>
      </c>
      <c r="G6" s="6" t="s">
        <v>19</v>
      </c>
      <c r="H6" s="7" t="s">
        <v>20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21</v>
      </c>
      <c r="C7" s="4" t="s">
        <v>22</v>
      </c>
      <c r="D7" s="4" t="s">
        <v>6</v>
      </c>
      <c r="E7" s="4" t="s">
        <v>11</v>
      </c>
      <c r="F7" s="4" t="s">
        <v>23</v>
      </c>
      <c r="G7" s="4" t="s">
        <v>24</v>
      </c>
      <c r="H7" s="5" t="s">
        <v>25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26</v>
      </c>
      <c r="C8" s="6" t="s">
        <v>27</v>
      </c>
      <c r="D8" s="6" t="s">
        <v>6</v>
      </c>
      <c r="E8" s="6" t="s">
        <v>11</v>
      </c>
      <c r="F8" s="6" t="s">
        <v>28</v>
      </c>
      <c r="G8" s="6" t="s">
        <v>29</v>
      </c>
      <c r="H8" s="7" t="s">
        <v>30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31</v>
      </c>
      <c r="C9" s="4" t="s">
        <v>32</v>
      </c>
      <c r="D9" s="4" t="s">
        <v>6</v>
      </c>
      <c r="E9" s="4" t="s">
        <v>11</v>
      </c>
      <c r="F9" s="4" t="s">
        <v>33</v>
      </c>
      <c r="G9" s="4" t="s">
        <v>34</v>
      </c>
      <c r="H9" s="5" t="s">
        <v>35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24" customHeight="1" spans="1:30" s="4" customFormat="1" x14ac:dyDescent="0.25">
      <c r="A10" s="6">
        <v>6</v>
      </c>
      <c r="B10" s="6" t="s">
        <v>36</v>
      </c>
      <c r="C10" s="6" t="s">
        <v>37</v>
      </c>
      <c r="D10" s="6" t="s">
        <v>6</v>
      </c>
      <c r="E10" s="6" t="s">
        <v>11</v>
      </c>
      <c r="F10" s="6" t="s">
        <v>38</v>
      </c>
      <c r="G10" s="6" t="s">
        <v>39</v>
      </c>
      <c r="H10" s="7" t="s">
        <v>40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24" customHeight="1" spans="1:30" s="4" customFormat="1" x14ac:dyDescent="0.25">
      <c r="A11" s="4">
        <v>7</v>
      </c>
      <c r="B11" s="4" t="s">
        <v>41</v>
      </c>
      <c r="C11" s="4" t="s">
        <v>42</v>
      </c>
      <c r="D11" s="4" t="s">
        <v>6</v>
      </c>
      <c r="E11" s="4" t="s">
        <v>11</v>
      </c>
      <c r="F11" s="4" t="s">
        <v>43</v>
      </c>
      <c r="G11" s="4" t="s">
        <v>44</v>
      </c>
      <c r="H11" s="5" t="s">
        <v>45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24" customHeight="1" spans="1:30" s="4" customFormat="1" x14ac:dyDescent="0.25">
      <c r="A12" s="6">
        <v>8</v>
      </c>
      <c r="B12" s="6" t="s">
        <v>46</v>
      </c>
      <c r="C12" s="6" t="s">
        <v>47</v>
      </c>
      <c r="D12" s="6" t="s">
        <v>6</v>
      </c>
      <c r="E12" s="6" t="s">
        <v>11</v>
      </c>
      <c r="F12" s="6" t="s">
        <v>48</v>
      </c>
      <c r="G12" s="6" t="s">
        <v>49</v>
      </c>
      <c r="H12" s="7" t="s">
        <v>50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24" customHeight="1" spans="1:30" s="4" customFormat="1" x14ac:dyDescent="0.25">
      <c r="A13" s="4">
        <v>9</v>
      </c>
      <c r="B13" s="4" t="s">
        <v>51</v>
      </c>
      <c r="C13" s="4" t="s">
        <v>52</v>
      </c>
      <c r="D13" s="4" t="s">
        <v>6</v>
      </c>
      <c r="E13" s="4" t="s">
        <v>11</v>
      </c>
      <c r="F13" s="4" t="s">
        <v>53</v>
      </c>
      <c r="G13" s="4" t="s">
        <v>54</v>
      </c>
      <c r="H13" s="5" t="s">
        <v>55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24" customHeight="1" spans="1:30" s="4" customFormat="1" x14ac:dyDescent="0.25">
      <c r="A14" s="6">
        <v>10</v>
      </c>
      <c r="B14" s="6" t="s">
        <v>56</v>
      </c>
      <c r="C14" s="6" t="s">
        <v>57</v>
      </c>
      <c r="D14" s="6" t="s">
        <v>6</v>
      </c>
      <c r="E14" s="6" t="s">
        <v>11</v>
      </c>
      <c r="F14" s="6" t="s">
        <v>58</v>
      </c>
      <c r="G14" s="6" t="s">
        <v>59</v>
      </c>
      <c r="H14" s="7" t="s">
        <v>60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24" customHeight="1" spans="1:30" s="4" customFormat="1" x14ac:dyDescent="0.25">
      <c r="A15" s="4">
        <v>11</v>
      </c>
      <c r="B15" s="4" t="s">
        <v>61</v>
      </c>
      <c r="C15" s="4" t="s">
        <v>62</v>
      </c>
      <c r="D15" s="4" t="s">
        <v>6</v>
      </c>
      <c r="E15" s="4" t="s">
        <v>11</v>
      </c>
      <c r="F15" s="4" t="s">
        <v>63</v>
      </c>
      <c r="G15" s="4" t="s">
        <v>64</v>
      </c>
      <c r="H15" s="5" t="s">
        <v>65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24" customHeight="1" spans="1:30" s="4" customFormat="1" x14ac:dyDescent="0.25">
      <c r="A16" s="6">
        <v>12</v>
      </c>
      <c r="B16" s="6" t="s">
        <v>66</v>
      </c>
      <c r="C16" s="6" t="s">
        <v>67</v>
      </c>
      <c r="D16" s="6" t="s">
        <v>6</v>
      </c>
      <c r="E16" s="6" t="s">
        <v>11</v>
      </c>
      <c r="F16" s="6" t="s">
        <v>68</v>
      </c>
      <c r="G16" s="6" t="s">
        <v>69</v>
      </c>
      <c r="H16" s="7" t="s">
        <v>70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24" customHeight="1" spans="1:30" s="4" customFormat="1" x14ac:dyDescent="0.25">
      <c r="A17" s="4">
        <v>13</v>
      </c>
      <c r="B17" s="4" t="s">
        <v>71</v>
      </c>
      <c r="C17" s="4" t="s">
        <v>72</v>
      </c>
      <c r="D17" s="4" t="s">
        <v>6</v>
      </c>
      <c r="E17" s="4" t="s">
        <v>11</v>
      </c>
      <c r="F17" s="4" t="s">
        <v>73</v>
      </c>
      <c r="G17" s="4" t="s">
        <v>74</v>
      </c>
      <c r="H17" s="5" t="s">
        <v>75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24" customHeight="1" spans="1:30" s="4" customFormat="1" x14ac:dyDescent="0.25">
      <c r="A18" s="6">
        <v>14</v>
      </c>
      <c r="B18" s="6" t="s">
        <v>76</v>
      </c>
      <c r="C18" s="6" t="s">
        <v>77</v>
      </c>
      <c r="D18" s="6" t="s">
        <v>6</v>
      </c>
      <c r="E18" s="6" t="s">
        <v>11</v>
      </c>
      <c r="F18" s="6" t="s">
        <v>78</v>
      </c>
      <c r="G18" s="6" t="s">
        <v>79</v>
      </c>
      <c r="H18" s="7" t="s">
        <v>80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24" customHeight="1" spans="1:30" s="4" customFormat="1" x14ac:dyDescent="0.25">
      <c r="A19" s="4">
        <v>15</v>
      </c>
      <c r="B19" s="4" t="s">
        <v>81</v>
      </c>
      <c r="C19" s="4" t="s">
        <v>82</v>
      </c>
      <c r="D19" s="4" t="s">
        <v>6</v>
      </c>
      <c r="E19" s="4" t="s">
        <v>11</v>
      </c>
      <c r="F19" s="4" t="s">
        <v>83</v>
      </c>
      <c r="G19" s="4" t="s">
        <v>84</v>
      </c>
      <c r="H19" s="5" t="s">
        <v>85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24" customHeight="1" spans="1:30" s="4" customFormat="1" x14ac:dyDescent="0.25">
      <c r="A20" s="6">
        <v>16</v>
      </c>
      <c r="B20" s="6" t="s">
        <v>86</v>
      </c>
      <c r="C20" s="6" t="s">
        <v>87</v>
      </c>
      <c r="D20" s="6" t="s">
        <v>6</v>
      </c>
      <c r="E20" s="6" t="s">
        <v>11</v>
      </c>
      <c r="F20" s="6" t="s">
        <v>88</v>
      </c>
      <c r="G20" s="6" t="s">
        <v>89</v>
      </c>
      <c r="H20" s="7" t="s">
        <v>90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24" customHeight="1" spans="1:30" s="4" customFormat="1" x14ac:dyDescent="0.25">
      <c r="A21" s="4">
        <v>17</v>
      </c>
      <c r="B21" s="4" t="s">
        <v>91</v>
      </c>
      <c r="C21" s="4" t="s">
        <v>92</v>
      </c>
      <c r="D21" s="4" t="s">
        <v>6</v>
      </c>
      <c r="E21" s="4" t="s">
        <v>11</v>
      </c>
      <c r="F21" s="4" t="s">
        <v>93</v>
      </c>
      <c r="G21" s="4" t="s">
        <v>94</v>
      </c>
      <c r="H21" s="5" t="s">
        <v>95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24" customHeight="1" spans="1:30" s="4" customFormat="1" x14ac:dyDescent="0.25">
      <c r="A22" s="6">
        <v>18</v>
      </c>
      <c r="B22" s="6" t="s">
        <v>96</v>
      </c>
      <c r="C22" s="6" t="s">
        <v>97</v>
      </c>
      <c r="D22" s="6" t="s">
        <v>6</v>
      </c>
      <c r="E22" s="6" t="s">
        <v>11</v>
      </c>
      <c r="F22" s="6" t="s">
        <v>98</v>
      </c>
      <c r="G22" s="6" t="s">
        <v>99</v>
      </c>
      <c r="H22" s="7" t="s">
        <v>100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</sheetData>
  <hyperlinks>
    <hyperlink ref="H5" r:id="rId1" location="#'P-00 INDEX'!A1"/>
    <hyperlink ref="H6" r:id="rId2" location="#'P-DASHBOARD'!A1"/>
    <hyperlink ref="H7" r:id="rId3" location="#'P-CHARTER'!A1"/>
    <hyperlink ref="H8" r:id="rId4" location="#'P-DOMAINS'!A1"/>
    <hyperlink ref="H9" r:id="rId5" location="#'P-ENTITIES'!A1"/>
    <hyperlink ref="H10" r:id="rId6" location="#'P-SOURCES'!A1"/>
    <hyperlink ref="H11" r:id="rId7" location="#'P-SENSORS'!A1"/>
    <hyperlink ref="H12" r:id="rId8" location="#'P-COLLECTION'!A1"/>
    <hyperlink ref="H13" r:id="rId9" location="#'P-METRICS'!A1"/>
    <hyperlink ref="H14" r:id="rId10" location="#'P-TRENDS'!A1"/>
    <hyperlink ref="H15" r:id="rId11" location="#'P-OPPORTUNITIES'!A1"/>
    <hyperlink ref="H16" r:id="rId12" location="#'P-COMPETITORS'!A1"/>
    <hyperlink ref="H17" r:id="rId13" location="#'P-SEARCH_INTEL'!A1"/>
    <hyperlink ref="H18" r:id="rId14" location="#'P-GEOGRAPHY'!A1"/>
    <hyperlink ref="H19" r:id="rId15" location="#'P-ALERTS'!A1"/>
    <hyperlink ref="H20" r:id="rId16" location="#'P-RECOMMENDATIONS'!A1"/>
    <hyperlink ref="H21" r:id="rId17" location="#'P-DECISIONS'!A1"/>
    <hyperlink ref="H22" r:id="rId18" location="#'P-SESSION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"/>
  <sheetViews>
    <sheetView workbookViewId="0"/>
  </sheetViews>
  <sheetFormatPr defaultRowHeight="15" outlineLevelRow="0" outlineLevelCol="0" x14ac:dyDescent="55"/>
  <cols>
    <col min="1" max="1" width="63" customWidth="1"/>
    <col min="2" max="2" width="38" customWidth="1"/>
    <col min="3" max="3" width="52" customWidth="1"/>
    <col min="4" max="4" width="32" customWidth="1"/>
    <col min="5" max="5" width="21" customWidth="1"/>
    <col min="6" max="30" width="15" customWidth="1"/>
  </cols>
  <sheetData>
    <row r="1" ht="24" customHeight="1" spans="1:30" x14ac:dyDescent="0.25">
      <c r="A1" s="8" t="s">
        <v>101</v>
      </c>
    </row>
    <row r="3" spans="1:30" x14ac:dyDescent="0.25">
      <c r="A3" s="1" t="s">
        <v>102</v>
      </c>
    </row>
    <row r="4" spans="1:30" x14ac:dyDescent="0.25">
      <c r="A4" s="2" t="s">
        <v>103</v>
      </c>
    </row>
    <row r="6" ht="24" customHeight="1" spans="1:30" s="3" customFormat="1" x14ac:dyDescent="0.25">
      <c r="A6" s="3" t="s">
        <v>2</v>
      </c>
      <c r="B6" s="3" t="s">
        <v>104</v>
      </c>
      <c r="C6" s="3" t="s">
        <v>105</v>
      </c>
      <c r="D6" s="3" t="s">
        <v>106</v>
      </c>
      <c r="E6" s="3" t="s">
        <v>107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24" customHeight="1" spans="1:30" s="4" customFormat="1" x14ac:dyDescent="0.25">
      <c r="A7" s="6">
        <v>1</v>
      </c>
      <c r="B7" s="9" t="s">
        <v>108</v>
      </c>
      <c r="C7" s="6" t="s">
        <v>109</v>
      </c>
      <c r="D7" s="6" t="s">
        <v>110</v>
      </c>
      <c r="E7" s="7" t="s">
        <v>111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4">
        <v>2</v>
      </c>
      <c r="B8" s="10" t="s">
        <v>112</v>
      </c>
      <c r="C8" s="4" t="s">
        <v>113</v>
      </c>
      <c r="D8" s="4" t="s">
        <v>114</v>
      </c>
      <c r="E8" s="5" t="s">
        <v>115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6">
        <v>3</v>
      </c>
      <c r="B9" s="9" t="s">
        <v>116</v>
      </c>
      <c r="C9" s="6">
        <f>COUNTA('P-DOMAINS'!A5:A100)</f>
      </c>
      <c r="D9" s="6" t="s">
        <v>117</v>
      </c>
      <c r="E9" s="7" t="s">
        <v>118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24" customHeight="1" spans="1:30" s="4" customFormat="1" x14ac:dyDescent="0.25">
      <c r="A10" s="4">
        <v>4</v>
      </c>
      <c r="B10" s="10" t="s">
        <v>119</v>
      </c>
      <c r="C10" s="4">
        <f>COUNTA('P-ENTITIES'!A5:A100)</f>
      </c>
      <c r="D10" s="4" t="s">
        <v>120</v>
      </c>
      <c r="E10" s="5" t="s">
        <v>121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24" customHeight="1" spans="1:30" s="4" customFormat="1" x14ac:dyDescent="0.25">
      <c r="A11" s="6">
        <v>5</v>
      </c>
      <c r="B11" s="9" t="s">
        <v>122</v>
      </c>
      <c r="C11" s="6">
        <f>COUNTA('P-SOURCES'!A5:A100)</f>
      </c>
      <c r="D11" s="6" t="s">
        <v>123</v>
      </c>
      <c r="E11" s="7" t="s">
        <v>124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24" customHeight="1" spans="1:30" s="4" customFormat="1" x14ac:dyDescent="0.25">
      <c r="A12" s="4">
        <v>6</v>
      </c>
      <c r="B12" s="10" t="s">
        <v>125</v>
      </c>
      <c r="C12" s="4">
        <f>COUNTA('P-SENSORS'!A5:A100)</f>
      </c>
      <c r="D12" s="4" t="s">
        <v>126</v>
      </c>
      <c r="E12" s="5" t="s">
        <v>127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24" customHeight="1" spans="1:30" s="4" customFormat="1" x14ac:dyDescent="0.25">
      <c r="A13" s="6">
        <v>7</v>
      </c>
      <c r="B13" s="9" t="s">
        <v>128</v>
      </c>
      <c r="C13" s="6">
        <f>COUNTIF('P-SENSORS'!O5:O100, 0)</f>
      </c>
      <c r="D13" s="6" t="s">
        <v>129</v>
      </c>
      <c r="E13" s="7" t="s">
        <v>130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24" customHeight="1" spans="1:30" s="4" customFormat="1" x14ac:dyDescent="0.25">
      <c r="A14" s="4">
        <v>8</v>
      </c>
      <c r="B14" s="10" t="s">
        <v>131</v>
      </c>
      <c r="C14" s="4">
        <f>COUNTA('P-TRENDS'!A5:A100)</f>
      </c>
      <c r="D14" s="4" t="s">
        <v>132</v>
      </c>
      <c r="E14" s="5" t="s">
        <v>133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24" customHeight="1" spans="1:30" s="4" customFormat="1" x14ac:dyDescent="0.25">
      <c r="A15" s="6">
        <v>9</v>
      </c>
      <c r="B15" s="9" t="s">
        <v>134</v>
      </c>
      <c r="C15" s="6">
        <f>COUNTA('P-OPPORTUNITIES'!A5:A100)</f>
      </c>
      <c r="D15" s="6" t="s">
        <v>135</v>
      </c>
      <c r="E15" s="7" t="s">
        <v>136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24" customHeight="1" spans="1:30" s="4" customFormat="1" x14ac:dyDescent="0.25">
      <c r="A16" s="4">
        <v>10</v>
      </c>
      <c r="B16" s="10" t="s">
        <v>137</v>
      </c>
      <c r="C16" s="4">
        <f>COUNTIFS('P-OPPORTUNITIES'!E5:E100, "P0", 'P-OPPORTUNITIES'!N5:N100, "APPROVED")</f>
      </c>
      <c r="D16" s="4" t="s">
        <v>138</v>
      </c>
      <c r="E16" s="5" t="s">
        <v>139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24" customHeight="1" spans="1:30" s="4" customFormat="1" x14ac:dyDescent="0.25">
      <c r="A17" s="6">
        <v>11</v>
      </c>
      <c r="B17" s="9" t="s">
        <v>140</v>
      </c>
      <c r="C17" s="6">
        <f>COUNTA('P-COMPETITORS'!A5:A100)</f>
      </c>
      <c r="D17" s="6" t="s">
        <v>141</v>
      </c>
      <c r="E17" s="7" t="s">
        <v>142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24" customHeight="1" spans="1:30" s="4" customFormat="1" x14ac:dyDescent="0.25">
      <c r="A18" s="4">
        <v>12</v>
      </c>
      <c r="B18" s="10" t="s">
        <v>143</v>
      </c>
      <c r="C18" s="4" t="s">
        <v>144</v>
      </c>
      <c r="D18" s="4" t="s">
        <v>145</v>
      </c>
      <c r="E18" s="5" t="s">
        <v>146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24" customHeight="1" spans="1:30" s="4" customFormat="1" x14ac:dyDescent="0.25">
      <c r="A19" s="6">
        <v>13</v>
      </c>
      <c r="B19" s="9" t="s">
        <v>147</v>
      </c>
      <c r="C19" s="6" t="s">
        <v>148</v>
      </c>
      <c r="D19" s="6" t="s">
        <v>149</v>
      </c>
      <c r="E19" s="7" t="s">
        <v>150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24" customHeight="1" spans="1:30" s="4" customFormat="1" x14ac:dyDescent="0.25">
      <c r="A20" s="4">
        <v>14</v>
      </c>
      <c r="B20" s="10" t="s">
        <v>151</v>
      </c>
      <c r="C20" s="4" t="s">
        <v>152</v>
      </c>
      <c r="D20" s="4" t="s">
        <v>153</v>
      </c>
      <c r="E20" s="5" t="s">
        <v>154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24" customHeight="1" spans="1:30" s="4" customFormat="1" x14ac:dyDescent="0.25">
      <c r="A21" s="6">
        <v>15</v>
      </c>
      <c r="B21" s="9" t="s">
        <v>155</v>
      </c>
      <c r="C21" s="6" t="s">
        <v>156</v>
      </c>
      <c r="D21" s="6" t="s">
        <v>157</v>
      </c>
      <c r="E21" s="7" t="s">
        <v>158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</sheetData>
  <hyperlinks>
    <hyperlink ref="A1" r:id="rId1" location="#'P-00 INDEX'!A1"/>
    <hyperlink ref="E7" r:id="rId2" location="#'P-CHARTER'!A1"/>
    <hyperlink ref="E8" r:id="rId3"/>
    <hyperlink ref="E9" r:id="rId4" location="#'P-DOMAINS'!A1"/>
    <hyperlink ref="E10" r:id="rId5" location="#'P-ENTITIES'!A1"/>
    <hyperlink ref="E11" r:id="rId6" location="#'P-SOURCES'!A1"/>
    <hyperlink ref="E12" r:id="rId7" location="#'P-SENSORS'!A1"/>
    <hyperlink ref="E13" r:id="rId8" location="#'P-SENSORS'!A1"/>
    <hyperlink ref="E14" r:id="rId9" location="#'P-TRENDS'!A1"/>
    <hyperlink ref="E15" r:id="rId10" location="#'P-OPPORTUNITIES'!A1"/>
    <hyperlink ref="E16" r:id="rId11" location="#'P-OPPORTUNITIES'!A1"/>
    <hyperlink ref="E17" r:id="rId12" location="#'P-COMPETITORS'!A1"/>
    <hyperlink ref="E18" r:id="rId13"/>
    <hyperlink ref="E19" r:id="rId14"/>
    <hyperlink ref="E20" r:id="rId15" location="#'P-00 INDEX'!A1"/>
    <hyperlink ref="E21" r:id="rId16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workbookViewId="0"/>
  </sheetViews>
  <sheetFormatPr defaultRowHeight="15" outlineLevelRow="0" outlineLevelCol="0" x14ac:dyDescent="55"/>
  <cols>
    <col min="1" max="1" width="63" customWidth="1"/>
    <col min="2" max="2" width="36" customWidth="1"/>
    <col min="3" max="3" width="16" customWidth="1"/>
    <col min="4" max="4" width="63" customWidth="1"/>
    <col min="5" max="30" width="15" customWidth="1"/>
  </cols>
  <sheetData>
    <row r="1" ht="24" customHeight="1" spans="1:30" x14ac:dyDescent="0.25">
      <c r="A1" s="8" t="s">
        <v>101</v>
      </c>
    </row>
    <row r="3" spans="1:30" x14ac:dyDescent="0.25">
      <c r="A3" s="1" t="s">
        <v>159</v>
      </c>
    </row>
    <row r="4" spans="1:30" x14ac:dyDescent="0.25">
      <c r="A4" s="2" t="s">
        <v>160</v>
      </c>
    </row>
    <row r="6" ht="30" customHeight="1" spans="1:30" s="3" customFormat="1" x14ac:dyDescent="0.25">
      <c r="A6" s="3" t="s">
        <v>2</v>
      </c>
      <c r="B6" s="3" t="s">
        <v>161</v>
      </c>
      <c r="C6" s="3" t="s">
        <v>162</v>
      </c>
      <c r="D6" s="3" t="s">
        <v>163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30" customHeight="1" spans="1:30" s="4" customFormat="1" x14ac:dyDescent="0.25">
      <c r="A7" s="6">
        <v>1</v>
      </c>
      <c r="B7" s="9" t="s">
        <v>164</v>
      </c>
      <c r="C7" s="6" t="s">
        <v>165</v>
      </c>
      <c r="D7" s="6" t="s">
        <v>166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30" customHeight="1" spans="1:30" s="4" customFormat="1" x14ac:dyDescent="0.25">
      <c r="A8" s="4">
        <v>2</v>
      </c>
      <c r="B8" s="10" t="s">
        <v>167</v>
      </c>
      <c r="C8" s="4" t="s">
        <v>168</v>
      </c>
      <c r="D8" s="4" t="s">
        <v>169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30" customHeight="1" spans="1:30" s="4" customFormat="1" x14ac:dyDescent="0.25">
      <c r="A9" s="6">
        <v>3</v>
      </c>
      <c r="B9" s="9" t="s">
        <v>170</v>
      </c>
      <c r="C9" s="6" t="s">
        <v>171</v>
      </c>
      <c r="D9" s="6" t="s">
        <v>172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30" customHeight="1" spans="1:30" s="4" customFormat="1" x14ac:dyDescent="0.25">
      <c r="A10" s="4">
        <v>4</v>
      </c>
      <c r="B10" s="10" t="s">
        <v>173</v>
      </c>
      <c r="C10" s="4" t="s">
        <v>174</v>
      </c>
      <c r="D10" s="4" t="s">
        <v>175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30" customHeight="1" spans="1:30" s="4" customFormat="1" x14ac:dyDescent="0.25">
      <c r="A11" s="6">
        <v>5</v>
      </c>
      <c r="B11" s="9" t="s">
        <v>176</v>
      </c>
      <c r="C11" s="6" t="s">
        <v>174</v>
      </c>
      <c r="D11" s="6" t="s">
        <v>177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30" customHeight="1" spans="1:30" s="4" customFormat="1" x14ac:dyDescent="0.25">
      <c r="A12" s="4">
        <v>6</v>
      </c>
      <c r="B12" s="10" t="s">
        <v>178</v>
      </c>
      <c r="C12" s="4" t="s">
        <v>179</v>
      </c>
      <c r="D12" s="4" t="s">
        <v>180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30" customHeight="1" spans="1:30" s="4" customFormat="1" x14ac:dyDescent="0.25">
      <c r="A13" s="6">
        <v>7</v>
      </c>
      <c r="B13" s="9" t="s">
        <v>181</v>
      </c>
      <c r="C13" s="6" t="s">
        <v>182</v>
      </c>
      <c r="D13" s="6" t="s">
        <v>183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30" customHeight="1" spans="1:30" s="4" customFormat="1" x14ac:dyDescent="0.25">
      <c r="A14" s="4">
        <v>8</v>
      </c>
      <c r="B14" s="10" t="s">
        <v>184</v>
      </c>
      <c r="C14" s="4" t="s">
        <v>185</v>
      </c>
      <c r="D14" s="4" t="s">
        <v>186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"/>
  <sheetViews>
    <sheetView workbookViewId="0"/>
  </sheetViews>
  <sheetFormatPr defaultRowHeight="15" outlineLevelRow="0" outlineLevelCol="0" x14ac:dyDescent="55"/>
  <cols>
    <col min="1" max="1" width="60" customWidth="1"/>
    <col min="2" max="2" width="15" customWidth="1"/>
    <col min="3" max="3" width="26" customWidth="1"/>
    <col min="4" max="4" width="63" customWidth="1"/>
    <col min="5" max="5" width="15" customWidth="1"/>
    <col min="6" max="6" width="21" customWidth="1"/>
    <col min="7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187</v>
      </c>
    </row>
    <row r="4" ht="26" customHeight="1" spans="1:30" s="3" customFormat="1" x14ac:dyDescent="0.25">
      <c r="A4" s="3" t="s">
        <v>2</v>
      </c>
      <c r="B4" s="3" t="s">
        <v>188</v>
      </c>
      <c r="C4" s="3" t="s">
        <v>189</v>
      </c>
      <c r="D4" s="3" t="s">
        <v>190</v>
      </c>
      <c r="E4" s="3" t="s">
        <v>191</v>
      </c>
      <c r="F4" s="3" t="s">
        <v>192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193</v>
      </c>
      <c r="C5" s="4" t="s">
        <v>194</v>
      </c>
      <c r="D5" s="4" t="s">
        <v>195</v>
      </c>
      <c r="E5" s="4" t="s">
        <v>196</v>
      </c>
      <c r="F5" s="5" t="s">
        <v>197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198</v>
      </c>
      <c r="C6" s="6" t="s">
        <v>199</v>
      </c>
      <c r="D6" s="6" t="s">
        <v>200</v>
      </c>
      <c r="E6" s="6" t="s">
        <v>196</v>
      </c>
      <c r="F6" s="7" t="s">
        <v>197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201</v>
      </c>
      <c r="C7" s="4" t="s">
        <v>202</v>
      </c>
      <c r="D7" s="4" t="s">
        <v>203</v>
      </c>
      <c r="E7" s="4" t="s">
        <v>196</v>
      </c>
      <c r="F7" s="5" t="s">
        <v>197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204</v>
      </c>
      <c r="C8" s="6" t="s">
        <v>205</v>
      </c>
      <c r="D8" s="6" t="s">
        <v>206</v>
      </c>
      <c r="E8" s="6" t="s">
        <v>196</v>
      </c>
      <c r="F8" s="7" t="s">
        <v>197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207</v>
      </c>
      <c r="C9" s="4" t="s">
        <v>208</v>
      </c>
      <c r="D9" s="4" t="s">
        <v>209</v>
      </c>
      <c r="E9" s="4" t="s">
        <v>196</v>
      </c>
      <c r="F9" s="5" t="s">
        <v>197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24" customHeight="1" spans="1:30" s="4" customFormat="1" x14ac:dyDescent="0.25">
      <c r="A10" s="6">
        <v>6</v>
      </c>
      <c r="B10" s="6" t="s">
        <v>210</v>
      </c>
      <c r="C10" s="6" t="s">
        <v>211</v>
      </c>
      <c r="D10" s="6" t="s">
        <v>212</v>
      </c>
      <c r="E10" s="6" t="s">
        <v>196</v>
      </c>
      <c r="F10" s="7" t="s">
        <v>197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24" customHeight="1" spans="1:30" s="4" customFormat="1" x14ac:dyDescent="0.25">
      <c r="A11" s="4">
        <v>7</v>
      </c>
      <c r="B11" s="4" t="s">
        <v>213</v>
      </c>
      <c r="C11" s="4" t="s">
        <v>214</v>
      </c>
      <c r="D11" s="4" t="s">
        <v>215</v>
      </c>
      <c r="E11" s="4" t="s">
        <v>196</v>
      </c>
      <c r="F11" s="5" t="s">
        <v>197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24" customHeight="1" spans="1:30" s="4" customFormat="1" x14ac:dyDescent="0.25">
      <c r="A12" s="6">
        <v>8</v>
      </c>
      <c r="B12" s="6" t="s">
        <v>216</v>
      </c>
      <c r="C12" s="6" t="s">
        <v>217</v>
      </c>
      <c r="D12" s="6" t="s">
        <v>218</v>
      </c>
      <c r="E12" s="6" t="s">
        <v>196</v>
      </c>
      <c r="F12" s="7" t="s">
        <v>197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24" customHeight="1" spans="1:30" s="4" customFormat="1" x14ac:dyDescent="0.25">
      <c r="A13" s="4">
        <v>9</v>
      </c>
      <c r="B13" s="4" t="s">
        <v>219</v>
      </c>
      <c r="C13" s="4" t="s">
        <v>220</v>
      </c>
      <c r="D13" s="4" t="s">
        <v>221</v>
      </c>
      <c r="E13" s="4" t="s">
        <v>196</v>
      </c>
      <c r="F13" s="5" t="s">
        <v>197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24" customHeight="1" spans="1:30" s="4" customFormat="1" x14ac:dyDescent="0.25">
      <c r="A14" s="6">
        <v>10</v>
      </c>
      <c r="B14" s="6" t="s">
        <v>222</v>
      </c>
      <c r="C14" s="6" t="s">
        <v>223</v>
      </c>
      <c r="D14" s="6" t="s">
        <v>224</v>
      </c>
      <c r="E14" s="6" t="s">
        <v>196</v>
      </c>
      <c r="F14" s="7" t="s">
        <v>197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24" customHeight="1" spans="1:30" s="4" customFormat="1" x14ac:dyDescent="0.25">
      <c r="A15" s="4">
        <v>11</v>
      </c>
      <c r="B15" s="4" t="s">
        <v>225</v>
      </c>
      <c r="C15" s="4" t="s">
        <v>226</v>
      </c>
      <c r="D15" s="4" t="s">
        <v>227</v>
      </c>
      <c r="E15" s="4" t="s">
        <v>196</v>
      </c>
      <c r="F15" s="5" t="s">
        <v>197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24" customHeight="1" spans="1:30" s="4" customFormat="1" x14ac:dyDescent="0.25">
      <c r="A16" s="6">
        <v>12</v>
      </c>
      <c r="B16" s="6" t="s">
        <v>228</v>
      </c>
      <c r="C16" s="6" t="s">
        <v>229</v>
      </c>
      <c r="D16" s="6" t="s">
        <v>230</v>
      </c>
      <c r="E16" s="6" t="s">
        <v>196</v>
      </c>
      <c r="F16" s="7" t="s">
        <v>197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24" customHeight="1" spans="1:30" s="4" customFormat="1" x14ac:dyDescent="0.25">
      <c r="A17" s="4">
        <v>13</v>
      </c>
      <c r="B17" s="4" t="s">
        <v>231</v>
      </c>
      <c r="C17" s="4" t="s">
        <v>232</v>
      </c>
      <c r="D17" s="4" t="s">
        <v>233</v>
      </c>
      <c r="E17" s="4" t="s">
        <v>196</v>
      </c>
      <c r="F17" s="5" t="s">
        <v>197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24" customHeight="1" spans="1:30" s="4" customFormat="1" x14ac:dyDescent="0.25">
      <c r="A18" s="6">
        <v>14</v>
      </c>
      <c r="B18" s="6" t="s">
        <v>234</v>
      </c>
      <c r="C18" s="6" t="s">
        <v>235</v>
      </c>
      <c r="D18" s="6" t="s">
        <v>236</v>
      </c>
      <c r="E18" s="6" t="s">
        <v>196</v>
      </c>
      <c r="F18" s="7" t="s">
        <v>197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24" customHeight="1" spans="1:30" s="4" customFormat="1" x14ac:dyDescent="0.25">
      <c r="A19" s="4">
        <v>15</v>
      </c>
      <c r="B19" s="4" t="s">
        <v>237</v>
      </c>
      <c r="C19" s="4" t="s">
        <v>238</v>
      </c>
      <c r="D19" s="4" t="s">
        <v>239</v>
      </c>
      <c r="E19" s="4" t="s">
        <v>196</v>
      </c>
      <c r="F19" s="5" t="s">
        <v>197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24" customHeight="1" spans="1:30" s="4" customFormat="1" x14ac:dyDescent="0.25">
      <c r="A20" s="6">
        <v>16</v>
      </c>
      <c r="B20" s="6" t="s">
        <v>240</v>
      </c>
      <c r="C20" s="6" t="s">
        <v>241</v>
      </c>
      <c r="D20" s="6" t="s">
        <v>242</v>
      </c>
      <c r="E20" s="6" t="s">
        <v>196</v>
      </c>
      <c r="F20" s="7" t="s">
        <v>197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</sheetData>
  <hyperlinks>
    <hyperlink ref="A1" r:id="rId1" location="#'P-00 INDEX'!A1"/>
    <hyperlink ref="F5" r:id="rId2"/>
    <hyperlink ref="F6" r:id="rId3"/>
    <hyperlink ref="F7" r:id="rId4"/>
    <hyperlink ref="F8" r:id="rId5"/>
    <hyperlink ref="F9" r:id="rId6"/>
    <hyperlink ref="F10" r:id="rId7"/>
    <hyperlink ref="F11" r:id="rId8"/>
    <hyperlink ref="F12" r:id="rId9"/>
    <hyperlink ref="F13" r:id="rId10"/>
    <hyperlink ref="F14" r:id="rId11"/>
    <hyperlink ref="F15" r:id="rId12"/>
    <hyperlink ref="F16" r:id="rId13"/>
    <hyperlink ref="F17" r:id="rId14"/>
    <hyperlink ref="F18" r:id="rId15"/>
    <hyperlink ref="F19" r:id="rId16"/>
    <hyperlink ref="F20" r:id="rId1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"/>
  <sheetViews>
    <sheetView workbookViewId="0"/>
  </sheetViews>
  <sheetFormatPr defaultRowHeight="15" outlineLevelRow="0" outlineLevelCol="0" x14ac:dyDescent="55"/>
  <cols>
    <col min="1" max="1" width="52" customWidth="1"/>
    <col min="2" max="2" width="15" customWidth="1"/>
    <col min="3" max="3" width="22" customWidth="1"/>
    <col min="4" max="4" width="15" customWidth="1"/>
    <col min="5" max="5" width="19" customWidth="1"/>
    <col min="6" max="6" width="58" customWidth="1"/>
    <col min="7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243</v>
      </c>
    </row>
    <row r="4" ht="26" customHeight="1" spans="1:30" s="3" customFormat="1" x14ac:dyDescent="0.25">
      <c r="A4" s="3" t="s">
        <v>2</v>
      </c>
      <c r="B4" s="3" t="s">
        <v>244</v>
      </c>
      <c r="C4" s="3" t="s">
        <v>245</v>
      </c>
      <c r="D4" s="3" t="s">
        <v>246</v>
      </c>
      <c r="E4" s="3" t="s">
        <v>204</v>
      </c>
      <c r="F4" s="3" t="s">
        <v>190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247</v>
      </c>
      <c r="C5" s="4" t="s">
        <v>248</v>
      </c>
      <c r="D5" s="4" t="s">
        <v>249</v>
      </c>
      <c r="E5" s="4" t="s">
        <v>250</v>
      </c>
      <c r="F5" s="4" t="s">
        <v>251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252</v>
      </c>
      <c r="C6" s="6" t="s">
        <v>253</v>
      </c>
      <c r="D6" s="6" t="s">
        <v>249</v>
      </c>
      <c r="E6" s="6" t="s">
        <v>253</v>
      </c>
      <c r="F6" s="6" t="s">
        <v>254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255</v>
      </c>
      <c r="C7" s="4" t="s">
        <v>256</v>
      </c>
      <c r="D7" s="4" t="s">
        <v>249</v>
      </c>
      <c r="E7" s="4" t="s">
        <v>256</v>
      </c>
      <c r="F7" s="4" t="s">
        <v>257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258</v>
      </c>
      <c r="C8" s="6" t="s">
        <v>259</v>
      </c>
      <c r="D8" s="6" t="s">
        <v>249</v>
      </c>
      <c r="E8" s="6" t="s">
        <v>259</v>
      </c>
      <c r="F8" s="6" t="s">
        <v>260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261</v>
      </c>
      <c r="C9" s="4" t="s">
        <v>262</v>
      </c>
      <c r="D9" s="4" t="s">
        <v>249</v>
      </c>
      <c r="E9" s="4" t="s">
        <v>262</v>
      </c>
      <c r="F9" s="4" t="s">
        <v>263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24" customHeight="1" spans="1:30" s="4" customFormat="1" x14ac:dyDescent="0.25">
      <c r="A10" s="6">
        <v>6</v>
      </c>
      <c r="B10" s="6" t="s">
        <v>264</v>
      </c>
      <c r="C10" s="6" t="s">
        <v>265</v>
      </c>
      <c r="D10" s="6" t="s">
        <v>266</v>
      </c>
      <c r="E10" s="6" t="s">
        <v>267</v>
      </c>
      <c r="F10" s="6" t="s">
        <v>268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24" customHeight="1" spans="1:30" s="4" customFormat="1" x14ac:dyDescent="0.25">
      <c r="A11" s="4">
        <v>7</v>
      </c>
      <c r="B11" s="4" t="s">
        <v>269</v>
      </c>
      <c r="C11" s="4" t="s">
        <v>270</v>
      </c>
      <c r="D11" s="4" t="s">
        <v>266</v>
      </c>
      <c r="E11" s="4" t="s">
        <v>267</v>
      </c>
      <c r="F11" s="4" t="s">
        <v>271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24" customHeight="1" spans="1:30" s="4" customFormat="1" x14ac:dyDescent="0.25">
      <c r="A12" s="6">
        <v>8</v>
      </c>
      <c r="B12" s="6" t="s">
        <v>272</v>
      </c>
      <c r="C12" s="6" t="s">
        <v>273</v>
      </c>
      <c r="D12" s="6" t="s">
        <v>266</v>
      </c>
      <c r="E12" s="6" t="s">
        <v>274</v>
      </c>
      <c r="F12" s="6" t="s">
        <v>275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24" customHeight="1" spans="1:30" s="4" customFormat="1" x14ac:dyDescent="0.25">
      <c r="A13" s="4">
        <v>9</v>
      </c>
      <c r="B13" s="4" t="s">
        <v>276</v>
      </c>
      <c r="C13" s="4" t="s">
        <v>277</v>
      </c>
      <c r="D13" s="4" t="s">
        <v>266</v>
      </c>
      <c r="E13" s="4" t="s">
        <v>278</v>
      </c>
      <c r="F13" s="4" t="s">
        <v>279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24" customHeight="1" spans="1:30" s="4" customFormat="1" x14ac:dyDescent="0.25">
      <c r="A14" s="6">
        <v>10</v>
      </c>
      <c r="B14" s="6" t="s">
        <v>280</v>
      </c>
      <c r="C14" s="6" t="s">
        <v>281</v>
      </c>
      <c r="D14" s="6" t="s">
        <v>282</v>
      </c>
      <c r="E14" s="6" t="s">
        <v>198</v>
      </c>
      <c r="F14" s="6" t="s">
        <v>283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24" customHeight="1" spans="1:30" s="4" customFormat="1" x14ac:dyDescent="0.25">
      <c r="A15" s="4">
        <v>11</v>
      </c>
      <c r="B15" s="4" t="s">
        <v>284</v>
      </c>
      <c r="C15" s="4" t="s">
        <v>285</v>
      </c>
      <c r="D15" s="4" t="s">
        <v>286</v>
      </c>
      <c r="E15" s="4" t="s">
        <v>228</v>
      </c>
      <c r="F15" s="4" t="s">
        <v>287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24" customHeight="1" spans="1:30" s="4" customFormat="1" x14ac:dyDescent="0.25">
      <c r="A16" s="6">
        <v>12</v>
      </c>
      <c r="B16" s="6" t="s">
        <v>288</v>
      </c>
      <c r="C16" s="6" t="s">
        <v>289</v>
      </c>
      <c r="D16" s="6" t="s">
        <v>216</v>
      </c>
      <c r="E16" s="6" t="s">
        <v>216</v>
      </c>
      <c r="F16" s="6" t="s">
        <v>290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workbookViewId="0"/>
  </sheetViews>
  <sheetFormatPr defaultRowHeight="15" outlineLevelRow="0" outlineLevelCol="0" x14ac:dyDescent="55"/>
  <cols>
    <col min="1" max="1" width="60" customWidth="1"/>
    <col min="2" max="2" width="17" customWidth="1"/>
    <col min="3" max="3" width="38" customWidth="1"/>
    <col min="4" max="4" width="20" customWidth="1"/>
    <col min="5" max="5" width="46" customWidth="1"/>
    <col min="6" max="6" width="38" customWidth="1"/>
    <col min="7" max="7" width="16" customWidth="1"/>
    <col min="8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291</v>
      </c>
    </row>
    <row r="4" ht="26" customHeight="1" spans="1:30" s="3" customFormat="1" x14ac:dyDescent="0.25">
      <c r="A4" s="3" t="s">
        <v>2</v>
      </c>
      <c r="B4" s="3" t="s">
        <v>292</v>
      </c>
      <c r="C4" s="3" t="s">
        <v>293</v>
      </c>
      <c r="D4" s="3" t="s">
        <v>246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191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298</v>
      </c>
      <c r="C5" s="4" t="s">
        <v>299</v>
      </c>
      <c r="D5" s="4" t="s">
        <v>300</v>
      </c>
      <c r="E5" s="4" t="s">
        <v>301</v>
      </c>
      <c r="F5" s="4" t="s">
        <v>302</v>
      </c>
      <c r="G5" s="4" t="s">
        <v>303</v>
      </c>
      <c r="H5" s="4" t="s">
        <v>304</v>
      </c>
      <c r="I5" s="4" t="s">
        <v>196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305</v>
      </c>
      <c r="C6" s="6" t="s">
        <v>306</v>
      </c>
      <c r="D6" s="6" t="s">
        <v>300</v>
      </c>
      <c r="E6" s="6" t="s">
        <v>307</v>
      </c>
      <c r="F6" s="6" t="s">
        <v>308</v>
      </c>
      <c r="G6" s="6" t="s">
        <v>303</v>
      </c>
      <c r="H6" s="6" t="s">
        <v>309</v>
      </c>
      <c r="I6" s="6" t="s">
        <v>196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310</v>
      </c>
      <c r="C7" s="4" t="s">
        <v>311</v>
      </c>
      <c r="D7" s="4" t="s">
        <v>312</v>
      </c>
      <c r="E7" s="4" t="s">
        <v>313</v>
      </c>
      <c r="F7" s="4" t="s">
        <v>314</v>
      </c>
      <c r="G7" s="4" t="s">
        <v>315</v>
      </c>
      <c r="H7" s="4" t="s">
        <v>316</v>
      </c>
      <c r="I7" s="4" t="s">
        <v>196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317</v>
      </c>
      <c r="C8" s="6" t="s">
        <v>318</v>
      </c>
      <c r="D8" s="6" t="s">
        <v>319</v>
      </c>
      <c r="E8" s="6" t="s">
        <v>320</v>
      </c>
      <c r="F8" s="6" t="s">
        <v>321</v>
      </c>
      <c r="G8" s="6" t="s">
        <v>315</v>
      </c>
      <c r="H8" s="6" t="s">
        <v>322</v>
      </c>
      <c r="I8" s="6" t="s">
        <v>196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323</v>
      </c>
      <c r="C9" s="4" t="s">
        <v>324</v>
      </c>
      <c r="D9" s="4" t="s">
        <v>325</v>
      </c>
      <c r="E9" s="4" t="s">
        <v>326</v>
      </c>
      <c r="F9" s="4" t="s">
        <v>327</v>
      </c>
      <c r="G9" s="4" t="s">
        <v>315</v>
      </c>
      <c r="H9" s="4" t="s">
        <v>328</v>
      </c>
      <c r="I9" s="4" t="s">
        <v>196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24" customHeight="1" spans="1:30" s="4" customFormat="1" x14ac:dyDescent="0.25">
      <c r="A10" s="6">
        <v>6</v>
      </c>
      <c r="B10" s="6" t="s">
        <v>329</v>
      </c>
      <c r="C10" s="6" t="s">
        <v>330</v>
      </c>
      <c r="D10" s="6" t="s">
        <v>325</v>
      </c>
      <c r="E10" s="6" t="s">
        <v>331</v>
      </c>
      <c r="F10" s="6" t="s">
        <v>332</v>
      </c>
      <c r="G10" s="6" t="s">
        <v>315</v>
      </c>
      <c r="H10" s="6" t="s">
        <v>333</v>
      </c>
      <c r="I10" s="6" t="s">
        <v>196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defaultRowHeight="15" outlineLevelRow="0" outlineLevelCol="0" x14ac:dyDescent="55"/>
  <cols>
    <col min="1" max="1" width="57" customWidth="1"/>
    <col min="2" max="2" width="22" customWidth="1"/>
    <col min="3" max="4" width="15" customWidth="1"/>
    <col min="5" max="5" width="37" customWidth="1"/>
    <col min="6" max="6" width="25" customWidth="1"/>
    <col min="7" max="7" width="17" customWidth="1"/>
    <col min="8" max="8" width="20" customWidth="1"/>
    <col min="9" max="14" width="15" customWidth="1"/>
    <col min="15" max="15" width="16" customWidth="1"/>
    <col min="16" max="16" width="15" customWidth="1"/>
    <col min="17" max="17" width="63" customWidth="1"/>
    <col min="18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334</v>
      </c>
    </row>
    <row r="4" ht="26" customHeight="1" spans="1:30" s="3" customFormat="1" x14ac:dyDescent="0.25">
      <c r="A4" s="3" t="s">
        <v>2</v>
      </c>
      <c r="B4" s="3" t="s">
        <v>335</v>
      </c>
      <c r="C4" s="3" t="s">
        <v>204</v>
      </c>
      <c r="D4" s="3" t="s">
        <v>336</v>
      </c>
      <c r="E4" s="3" t="s">
        <v>295</v>
      </c>
      <c r="F4" s="3" t="s">
        <v>337</v>
      </c>
      <c r="G4" s="3" t="s">
        <v>338</v>
      </c>
      <c r="H4" s="3" t="s">
        <v>339</v>
      </c>
      <c r="I4" s="3" t="s">
        <v>340</v>
      </c>
      <c r="J4" s="3" t="s">
        <v>341</v>
      </c>
      <c r="K4" s="3" t="s">
        <v>342</v>
      </c>
      <c r="L4" s="3" t="s">
        <v>297</v>
      </c>
      <c r="M4" s="3" t="s">
        <v>343</v>
      </c>
      <c r="N4" s="3" t="s">
        <v>344</v>
      </c>
      <c r="O4" s="3" t="s">
        <v>345</v>
      </c>
      <c r="P4" s="3" t="s">
        <v>191</v>
      </c>
      <c r="Q4" s="3" t="s">
        <v>346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347</v>
      </c>
      <c r="C5" s="4" t="s">
        <v>193</v>
      </c>
      <c r="D5" s="4" t="s">
        <v>348</v>
      </c>
      <c r="E5" s="4" t="s">
        <v>349</v>
      </c>
      <c r="F5" s="4" t="s">
        <v>350</v>
      </c>
      <c r="G5" s="4" t="s">
        <v>298</v>
      </c>
      <c r="H5" s="4" t="s">
        <v>351</v>
      </c>
      <c r="I5" s="4" t="s">
        <v>352</v>
      </c>
      <c r="J5" s="4" t="s">
        <v>353</v>
      </c>
      <c r="K5" s="4" t="s">
        <v>354</v>
      </c>
      <c r="L5" s="4" t="s">
        <v>355</v>
      </c>
      <c r="M5" s="4" t="s">
        <v>356</v>
      </c>
      <c r="N5" s="4" t="s">
        <v>357</v>
      </c>
      <c r="O5" s="4">
        <v>0</v>
      </c>
      <c r="P5" s="4" t="s">
        <v>196</v>
      </c>
      <c r="Q5" s="4" t="s">
        <v>358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359</v>
      </c>
      <c r="C6" s="6" t="s">
        <v>198</v>
      </c>
      <c r="D6" s="6" t="s">
        <v>360</v>
      </c>
      <c r="E6" s="6" t="s">
        <v>361</v>
      </c>
      <c r="F6" s="6" t="s">
        <v>362</v>
      </c>
      <c r="G6" s="6" t="s">
        <v>305</v>
      </c>
      <c r="H6" s="6" t="s">
        <v>351</v>
      </c>
      <c r="I6" s="6" t="s">
        <v>352</v>
      </c>
      <c r="J6" s="6" t="s">
        <v>353</v>
      </c>
      <c r="K6" s="6" t="s">
        <v>354</v>
      </c>
      <c r="L6" s="6" t="s">
        <v>363</v>
      </c>
      <c r="M6" s="6" t="s">
        <v>356</v>
      </c>
      <c r="N6" s="6" t="s">
        <v>357</v>
      </c>
      <c r="O6" s="6">
        <v>0</v>
      </c>
      <c r="P6" s="6" t="s">
        <v>196</v>
      </c>
      <c r="Q6" s="6" t="s">
        <v>364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365</v>
      </c>
      <c r="C7" s="4" t="s">
        <v>193</v>
      </c>
      <c r="D7" s="4" t="s">
        <v>366</v>
      </c>
      <c r="E7" s="4" t="s">
        <v>367</v>
      </c>
      <c r="F7" s="4" t="s">
        <v>368</v>
      </c>
      <c r="G7" s="4" t="s">
        <v>317</v>
      </c>
      <c r="H7" s="4" t="s">
        <v>312</v>
      </c>
      <c r="I7" s="4" t="s">
        <v>369</v>
      </c>
      <c r="J7" s="4" t="s">
        <v>353</v>
      </c>
      <c r="K7" s="4" t="s">
        <v>354</v>
      </c>
      <c r="L7" s="4" t="s">
        <v>370</v>
      </c>
      <c r="M7" s="4" t="s">
        <v>371</v>
      </c>
      <c r="N7" s="4" t="s">
        <v>372</v>
      </c>
      <c r="O7" s="4">
        <v>0</v>
      </c>
      <c r="P7" s="4" t="s">
        <v>196</v>
      </c>
      <c r="Q7" s="4" t="s">
        <v>373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374</v>
      </c>
      <c r="C8" s="6" t="s">
        <v>198</v>
      </c>
      <c r="D8" s="6" t="s">
        <v>375</v>
      </c>
      <c r="E8" s="6" t="s">
        <v>376</v>
      </c>
      <c r="F8" s="6" t="s">
        <v>377</v>
      </c>
      <c r="G8" s="6" t="s">
        <v>310</v>
      </c>
      <c r="H8" s="6" t="s">
        <v>312</v>
      </c>
      <c r="I8" s="6" t="s">
        <v>352</v>
      </c>
      <c r="J8" s="6" t="s">
        <v>353</v>
      </c>
      <c r="K8" s="6" t="s">
        <v>354</v>
      </c>
      <c r="L8" s="6" t="s">
        <v>378</v>
      </c>
      <c r="M8" s="6" t="s">
        <v>356</v>
      </c>
      <c r="N8" s="6" t="s">
        <v>379</v>
      </c>
      <c r="O8" s="6">
        <v>0</v>
      </c>
      <c r="P8" s="6" t="s">
        <v>196</v>
      </c>
      <c r="Q8" s="6" t="s">
        <v>380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381</v>
      </c>
      <c r="C9" s="4" t="s">
        <v>216</v>
      </c>
      <c r="D9" s="4" t="s">
        <v>382</v>
      </c>
      <c r="E9" s="4" t="s">
        <v>383</v>
      </c>
      <c r="F9" s="4" t="s">
        <v>384</v>
      </c>
      <c r="G9" s="4" t="s">
        <v>323</v>
      </c>
      <c r="H9" s="4" t="s">
        <v>351</v>
      </c>
      <c r="I9" s="4" t="s">
        <v>352</v>
      </c>
      <c r="J9" s="4" t="s">
        <v>353</v>
      </c>
      <c r="K9" s="4" t="s">
        <v>354</v>
      </c>
      <c r="L9" s="4" t="s">
        <v>385</v>
      </c>
      <c r="M9" s="4" t="s">
        <v>356</v>
      </c>
      <c r="N9" s="4" t="s">
        <v>379</v>
      </c>
      <c r="O9" s="4">
        <v>0</v>
      </c>
      <c r="P9" s="4" t="s">
        <v>196</v>
      </c>
      <c r="Q9" s="4" t="s">
        <v>386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defaultRowHeight="15" outlineLevelRow="0" outlineLevelCol="0" x14ac:dyDescent="55"/>
  <cols>
    <col min="1" max="1" width="63" customWidth="1"/>
    <col min="2" max="2" width="19" customWidth="1"/>
    <col min="3" max="3" width="23" customWidth="1"/>
    <col min="4" max="4" width="22" customWidth="1"/>
    <col min="5" max="5" width="17" customWidth="1"/>
    <col min="6" max="6" width="15" customWidth="1"/>
    <col min="7" max="7" width="20" customWidth="1"/>
    <col min="8" max="8" width="15" customWidth="1"/>
    <col min="9" max="9" width="17" customWidth="1"/>
    <col min="10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387</v>
      </c>
    </row>
    <row r="4" ht="26" customHeight="1" spans="1:30" s="3" customFormat="1" x14ac:dyDescent="0.25">
      <c r="A4" s="3" t="s">
        <v>2</v>
      </c>
      <c r="B4" s="3" t="s">
        <v>388</v>
      </c>
      <c r="C4" s="3" t="s">
        <v>389</v>
      </c>
      <c r="D4" s="3" t="s">
        <v>335</v>
      </c>
      <c r="E4" s="3" t="s">
        <v>292</v>
      </c>
      <c r="F4" s="3" t="s">
        <v>191</v>
      </c>
      <c r="G4" s="3" t="s">
        <v>390</v>
      </c>
      <c r="H4" s="3" t="s">
        <v>391</v>
      </c>
      <c r="I4" s="3" t="s">
        <v>392</v>
      </c>
      <c r="J4" s="3" t="s">
        <v>393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394</v>
      </c>
      <c r="C5" s="4" t="s">
        <v>395</v>
      </c>
      <c r="D5" s="4" t="s">
        <v>347</v>
      </c>
      <c r="E5" s="4" t="s">
        <v>298</v>
      </c>
      <c r="F5" s="4" t="s">
        <v>396</v>
      </c>
      <c r="G5" s="4">
        <v>1</v>
      </c>
      <c r="H5" s="4">
        <v>145</v>
      </c>
      <c r="I5" s="4" t="s">
        <v>397</v>
      </c>
      <c r="J5" s="4" t="s">
        <v>315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398</v>
      </c>
      <c r="C6" s="6" t="s">
        <v>395</v>
      </c>
      <c r="D6" s="6" t="s">
        <v>359</v>
      </c>
      <c r="E6" s="6" t="s">
        <v>305</v>
      </c>
      <c r="F6" s="6" t="s">
        <v>396</v>
      </c>
      <c r="G6" s="6">
        <v>47</v>
      </c>
      <c r="H6" s="6">
        <v>210</v>
      </c>
      <c r="I6" s="6" t="s">
        <v>397</v>
      </c>
      <c r="J6" s="6" t="s">
        <v>315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399</v>
      </c>
      <c r="C7" s="4" t="s">
        <v>395</v>
      </c>
      <c r="D7" s="4" t="s">
        <v>365</v>
      </c>
      <c r="E7" s="4" t="s">
        <v>317</v>
      </c>
      <c r="F7" s="4" t="s">
        <v>396</v>
      </c>
      <c r="G7" s="4">
        <v>8</v>
      </c>
      <c r="H7" s="4">
        <v>520</v>
      </c>
      <c r="I7" s="4" t="s">
        <v>397</v>
      </c>
      <c r="J7" s="4" t="s">
        <v>315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400</v>
      </c>
      <c r="C8" s="6" t="s">
        <v>395</v>
      </c>
      <c r="D8" s="6" t="s">
        <v>374</v>
      </c>
      <c r="E8" s="6" t="s">
        <v>310</v>
      </c>
      <c r="F8" s="6" t="s">
        <v>396</v>
      </c>
      <c r="G8" s="6">
        <v>50</v>
      </c>
      <c r="H8" s="6">
        <v>310</v>
      </c>
      <c r="I8" s="6" t="s">
        <v>397</v>
      </c>
      <c r="J8" s="6" t="s">
        <v>315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401</v>
      </c>
      <c r="C9" s="4" t="s">
        <v>395</v>
      </c>
      <c r="D9" s="4" t="s">
        <v>381</v>
      </c>
      <c r="E9" s="4" t="s">
        <v>323</v>
      </c>
      <c r="F9" s="4" t="s">
        <v>396</v>
      </c>
      <c r="G9" s="4">
        <v>12</v>
      </c>
      <c r="H9" s="4">
        <v>180</v>
      </c>
      <c r="I9" s="4" t="s">
        <v>397</v>
      </c>
      <c r="J9" s="4" t="s">
        <v>315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workbookViewId="0"/>
  </sheetViews>
  <sheetFormatPr defaultRowHeight="15" outlineLevelRow="0" outlineLevelCol="0" x14ac:dyDescent="55"/>
  <cols>
    <col min="1" max="1" width="49" customWidth="1"/>
    <col min="2" max="2" width="15" customWidth="1"/>
    <col min="3" max="3" width="25" customWidth="1"/>
    <col min="4" max="6" width="15" customWidth="1"/>
    <col min="7" max="7" width="20" customWidth="1"/>
    <col min="8" max="8" width="45" customWidth="1"/>
    <col min="9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402</v>
      </c>
    </row>
    <row r="4" ht="26" customHeight="1" spans="1:30" s="3" customFormat="1" x14ac:dyDescent="0.25">
      <c r="A4" s="3" t="s">
        <v>2</v>
      </c>
      <c r="B4" s="3" t="s">
        <v>403</v>
      </c>
      <c r="C4" s="3" t="s">
        <v>404</v>
      </c>
      <c r="D4" s="3" t="s">
        <v>204</v>
      </c>
      <c r="E4" s="3" t="s">
        <v>405</v>
      </c>
      <c r="F4" s="3" t="s">
        <v>406</v>
      </c>
      <c r="G4" s="3" t="s">
        <v>407</v>
      </c>
      <c r="H4" s="3" t="s">
        <v>190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408</v>
      </c>
      <c r="C5" s="4" t="s">
        <v>350</v>
      </c>
      <c r="D5" s="4" t="s">
        <v>193</v>
      </c>
      <c r="E5" s="4" t="s">
        <v>409</v>
      </c>
      <c r="F5" s="4" t="s">
        <v>410</v>
      </c>
      <c r="G5" s="4" t="s">
        <v>411</v>
      </c>
      <c r="H5" s="4" t="s">
        <v>412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413</v>
      </c>
      <c r="C6" s="6" t="s">
        <v>414</v>
      </c>
      <c r="D6" s="6" t="s">
        <v>193</v>
      </c>
      <c r="E6" s="6" t="s">
        <v>415</v>
      </c>
      <c r="F6" s="6" t="s">
        <v>410</v>
      </c>
      <c r="G6" s="6" t="s">
        <v>411</v>
      </c>
      <c r="H6" s="6" t="s">
        <v>416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417</v>
      </c>
      <c r="C7" s="4" t="s">
        <v>368</v>
      </c>
      <c r="D7" s="4" t="s">
        <v>193</v>
      </c>
      <c r="E7" s="4" t="s">
        <v>418</v>
      </c>
      <c r="F7" s="4" t="s">
        <v>410</v>
      </c>
      <c r="G7" s="4" t="s">
        <v>419</v>
      </c>
      <c r="H7" s="4" t="s">
        <v>420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421</v>
      </c>
      <c r="C8" s="6" t="s">
        <v>422</v>
      </c>
      <c r="D8" s="6" t="s">
        <v>198</v>
      </c>
      <c r="E8" s="6" t="s">
        <v>423</v>
      </c>
      <c r="F8" s="6" t="s">
        <v>410</v>
      </c>
      <c r="G8" s="6" t="s">
        <v>411</v>
      </c>
      <c r="H8" s="6" t="s">
        <v>424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425</v>
      </c>
      <c r="C9" s="4" t="s">
        <v>362</v>
      </c>
      <c r="D9" s="4" t="s">
        <v>198</v>
      </c>
      <c r="E9" s="4" t="s">
        <v>409</v>
      </c>
      <c r="F9" s="4" t="s">
        <v>410</v>
      </c>
      <c r="G9" s="4" t="s">
        <v>411</v>
      </c>
      <c r="H9" s="4" t="s">
        <v>426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24" customHeight="1" spans="1:30" s="4" customFormat="1" x14ac:dyDescent="0.25">
      <c r="A10" s="6">
        <v>6</v>
      </c>
      <c r="B10" s="6" t="s">
        <v>427</v>
      </c>
      <c r="C10" s="6" t="s">
        <v>384</v>
      </c>
      <c r="D10" s="6" t="s">
        <v>216</v>
      </c>
      <c r="E10" s="6" t="s">
        <v>428</v>
      </c>
      <c r="F10" s="6" t="s">
        <v>410</v>
      </c>
      <c r="G10" s="6" t="s">
        <v>411</v>
      </c>
      <c r="H10" s="6" t="s">
        <v>429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defaultRowHeight="15" outlineLevelRow="0" outlineLevelCol="0" x14ac:dyDescent="55"/>
  <cols>
    <col min="1" max="1" width="63" customWidth="1"/>
    <col min="2" max="2" width="19" customWidth="1"/>
    <col min="3" max="3" width="21" customWidth="1"/>
    <col min="4" max="4" width="15" customWidth="1"/>
    <col min="5" max="5" width="17" customWidth="1"/>
    <col min="6" max="6" width="25" customWidth="1"/>
    <col min="7" max="8" width="15" customWidth="1"/>
    <col min="9" max="9" width="31" customWidth="1"/>
    <col min="10" max="10" width="23" customWidth="1"/>
    <col min="11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430</v>
      </c>
    </row>
    <row r="4" ht="26" customHeight="1" spans="1:30" s="3" customFormat="1" x14ac:dyDescent="0.25">
      <c r="A4" s="3" t="s">
        <v>2</v>
      </c>
      <c r="B4" s="3" t="s">
        <v>431</v>
      </c>
      <c r="C4" s="3" t="s">
        <v>335</v>
      </c>
      <c r="D4" s="3" t="s">
        <v>244</v>
      </c>
      <c r="E4" s="3" t="s">
        <v>432</v>
      </c>
      <c r="F4" s="3" t="s">
        <v>404</v>
      </c>
      <c r="G4" s="3" t="s">
        <v>433</v>
      </c>
      <c r="H4" s="3" t="s">
        <v>405</v>
      </c>
      <c r="I4" s="3" t="s">
        <v>338</v>
      </c>
      <c r="J4" s="3" t="s">
        <v>434</v>
      </c>
      <c r="K4" s="3" t="s">
        <v>344</v>
      </c>
      <c r="L4" s="3" t="s">
        <v>191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435</v>
      </c>
      <c r="C5" s="4" t="s">
        <v>347</v>
      </c>
      <c r="D5" s="4" t="s">
        <v>247</v>
      </c>
      <c r="E5" s="4" t="s">
        <v>411</v>
      </c>
      <c r="F5" s="4" t="s">
        <v>350</v>
      </c>
      <c r="G5" s="4">
        <v>1420</v>
      </c>
      <c r="H5" s="4" t="s">
        <v>409</v>
      </c>
      <c r="I5" s="4" t="s">
        <v>436</v>
      </c>
      <c r="J5" s="4" t="s">
        <v>395</v>
      </c>
      <c r="K5" s="4" t="s">
        <v>357</v>
      </c>
      <c r="L5" s="4" t="s">
        <v>396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437</v>
      </c>
      <c r="C6" s="6" t="s">
        <v>359</v>
      </c>
      <c r="D6" s="6" t="s">
        <v>247</v>
      </c>
      <c r="E6" s="6" t="s">
        <v>411</v>
      </c>
      <c r="F6" s="6" t="s">
        <v>438</v>
      </c>
      <c r="G6" s="6">
        <v>3850</v>
      </c>
      <c r="H6" s="6" t="s">
        <v>409</v>
      </c>
      <c r="I6" s="6" t="s">
        <v>439</v>
      </c>
      <c r="J6" s="6" t="s">
        <v>395</v>
      </c>
      <c r="K6" s="6" t="s">
        <v>357</v>
      </c>
      <c r="L6" s="6" t="s">
        <v>396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440</v>
      </c>
      <c r="C7" s="4" t="s">
        <v>365</v>
      </c>
      <c r="D7" s="4" t="s">
        <v>252</v>
      </c>
      <c r="E7" s="4" t="s">
        <v>419</v>
      </c>
      <c r="F7" s="4" t="s">
        <v>368</v>
      </c>
      <c r="G7" s="4">
        <v>1800000</v>
      </c>
      <c r="H7" s="4" t="s">
        <v>418</v>
      </c>
      <c r="I7" s="4" t="s">
        <v>318</v>
      </c>
      <c r="J7" s="4" t="s">
        <v>395</v>
      </c>
      <c r="K7" s="4" t="s">
        <v>372</v>
      </c>
      <c r="L7" s="4" t="s">
        <v>396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441</v>
      </c>
      <c r="C8" s="6" t="s">
        <v>365</v>
      </c>
      <c r="D8" s="6" t="s">
        <v>255</v>
      </c>
      <c r="E8" s="6" t="s">
        <v>419</v>
      </c>
      <c r="F8" s="6" t="s">
        <v>368</v>
      </c>
      <c r="G8" s="6">
        <v>420000</v>
      </c>
      <c r="H8" s="6" t="s">
        <v>418</v>
      </c>
      <c r="I8" s="6" t="s">
        <v>318</v>
      </c>
      <c r="J8" s="6" t="s">
        <v>395</v>
      </c>
      <c r="K8" s="6" t="s">
        <v>372</v>
      </c>
      <c r="L8" s="6" t="s">
        <v>396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442</v>
      </c>
      <c r="C9" s="4" t="s">
        <v>374</v>
      </c>
      <c r="D9" s="4" t="s">
        <v>264</v>
      </c>
      <c r="E9" s="4" t="s">
        <v>411</v>
      </c>
      <c r="F9" s="4" t="s">
        <v>422</v>
      </c>
      <c r="G9" s="4">
        <v>14</v>
      </c>
      <c r="H9" s="4" t="s">
        <v>423</v>
      </c>
      <c r="I9" s="4" t="s">
        <v>443</v>
      </c>
      <c r="J9" s="4" t="s">
        <v>395</v>
      </c>
      <c r="K9" s="4" t="s">
        <v>379</v>
      </c>
      <c r="L9" s="4" t="s">
        <v>396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/>
  </sheetViews>
  <sheetFormatPr defaultRowHeight="15" outlineLevelRow="0" outlineLevelCol="0" x14ac:dyDescent="55"/>
  <cols>
    <col min="1" max="1" width="62" customWidth="1"/>
    <col min="2" max="2" width="17" customWidth="1"/>
    <col min="3" max="3" width="41" customWidth="1"/>
    <col min="4" max="4" width="57" customWidth="1"/>
    <col min="5" max="6" width="15" customWidth="1"/>
    <col min="7" max="7" width="20" customWidth="1"/>
    <col min="8" max="10" width="15" customWidth="1"/>
    <col min="11" max="11" width="18" customWidth="1"/>
    <col min="12" max="12" width="16" customWidth="1"/>
    <col min="13" max="14" width="15" customWidth="1"/>
    <col min="15" max="15" width="18" customWidth="1"/>
    <col min="16" max="16" width="63" customWidth="1"/>
    <col min="17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444</v>
      </c>
    </row>
    <row r="4" ht="26" customHeight="1" spans="1:30" s="3" customFormat="1" x14ac:dyDescent="0.25">
      <c r="A4" s="3" t="s">
        <v>2</v>
      </c>
      <c r="B4" s="3" t="s">
        <v>445</v>
      </c>
      <c r="C4" s="3" t="s">
        <v>446</v>
      </c>
      <c r="D4" s="3" t="s">
        <v>447</v>
      </c>
      <c r="E4" s="3" t="s">
        <v>204</v>
      </c>
      <c r="F4" s="3" t="s">
        <v>448</v>
      </c>
      <c r="G4" s="3" t="s">
        <v>449</v>
      </c>
      <c r="H4" s="3" t="s">
        <v>450</v>
      </c>
      <c r="I4" s="3" t="s">
        <v>451</v>
      </c>
      <c r="J4" s="3" t="s">
        <v>452</v>
      </c>
      <c r="K4" s="3" t="s">
        <v>453</v>
      </c>
      <c r="L4" s="3" t="s">
        <v>454</v>
      </c>
      <c r="M4" s="3" t="s">
        <v>455</v>
      </c>
      <c r="N4" s="3" t="s">
        <v>344</v>
      </c>
      <c r="O4" s="3" t="s">
        <v>456</v>
      </c>
      <c r="P4" s="3" t="s">
        <v>457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458</v>
      </c>
      <c r="C5" s="4" t="s">
        <v>459</v>
      </c>
      <c r="D5" s="4" t="s">
        <v>460</v>
      </c>
      <c r="E5" s="4" t="s">
        <v>267</v>
      </c>
      <c r="F5" s="11" t="s">
        <v>461</v>
      </c>
      <c r="G5" s="4">
        <v>88.5</v>
      </c>
      <c r="H5" s="4">
        <v>85</v>
      </c>
      <c r="I5" s="4">
        <v>78</v>
      </c>
      <c r="J5" s="4">
        <v>90</v>
      </c>
      <c r="K5" s="4">
        <v>82</v>
      </c>
      <c r="L5" s="4">
        <v>75</v>
      </c>
      <c r="M5" s="4">
        <v>20</v>
      </c>
      <c r="N5" s="4" t="s">
        <v>379</v>
      </c>
      <c r="O5" s="12" t="s">
        <v>462</v>
      </c>
      <c r="P5" s="4" t="s">
        <v>463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464</v>
      </c>
      <c r="C6" s="6" t="s">
        <v>465</v>
      </c>
      <c r="D6" s="6" t="s">
        <v>465</v>
      </c>
      <c r="E6" s="6" t="s">
        <v>267</v>
      </c>
      <c r="F6" s="13" t="s">
        <v>466</v>
      </c>
      <c r="G6" s="6">
        <v>82</v>
      </c>
      <c r="H6" s="6">
        <v>80</v>
      </c>
      <c r="I6" s="6">
        <v>85</v>
      </c>
      <c r="J6" s="6">
        <v>85</v>
      </c>
      <c r="K6" s="6">
        <v>75</v>
      </c>
      <c r="L6" s="6">
        <v>70</v>
      </c>
      <c r="M6" s="6">
        <v>25</v>
      </c>
      <c r="N6" s="6" t="s">
        <v>379</v>
      </c>
      <c r="O6" s="14" t="s">
        <v>467</v>
      </c>
      <c r="P6" s="6" t="s">
        <v>468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469</v>
      </c>
      <c r="C7" s="4" t="s">
        <v>470</v>
      </c>
      <c r="D7" s="4" t="s">
        <v>471</v>
      </c>
      <c r="E7" s="4" t="s">
        <v>267</v>
      </c>
      <c r="F7" s="11" t="s">
        <v>466</v>
      </c>
      <c r="G7" s="4">
        <v>79.5</v>
      </c>
      <c r="H7" s="4">
        <v>78</v>
      </c>
      <c r="I7" s="4">
        <v>70</v>
      </c>
      <c r="J7" s="4">
        <v>88</v>
      </c>
      <c r="K7" s="4">
        <v>80</v>
      </c>
      <c r="L7" s="4">
        <v>65</v>
      </c>
      <c r="M7" s="4">
        <v>15</v>
      </c>
      <c r="N7" s="4" t="s">
        <v>379</v>
      </c>
      <c r="O7" s="12" t="s">
        <v>467</v>
      </c>
      <c r="P7" s="4" t="s">
        <v>472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</sheetData>
  <dataValidations count="1">
    <dataValidation type="list" sqref="O5:O7">
      <formula1>"APPROVED,PENDING,REJECTED,NEEDS_REVIEW"</formula1>
    </dataValidation>
  </dataValidations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defaultRowHeight="15" outlineLevelRow="0" outlineLevelCol="0" x14ac:dyDescent="55"/>
  <cols>
    <col min="1" max="1" width="63" customWidth="1"/>
    <col min="2" max="2" width="16" customWidth="1"/>
    <col min="3" max="4" width="21" customWidth="1"/>
    <col min="5" max="5" width="15" customWidth="1"/>
    <col min="6" max="6" width="30" customWidth="1"/>
    <col min="7" max="7" width="42" customWidth="1"/>
    <col min="8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473</v>
      </c>
    </row>
    <row r="4" ht="26" customHeight="1" spans="1:30" s="3" customFormat="1" x14ac:dyDescent="0.25">
      <c r="A4" s="3" t="s">
        <v>2</v>
      </c>
      <c r="B4" s="3" t="s">
        <v>474</v>
      </c>
      <c r="C4" s="3" t="s">
        <v>189</v>
      </c>
      <c r="D4" s="3" t="s">
        <v>475</v>
      </c>
      <c r="E4" s="3" t="s">
        <v>476</v>
      </c>
      <c r="F4" s="3" t="s">
        <v>477</v>
      </c>
      <c r="G4" s="3" t="s">
        <v>478</v>
      </c>
      <c r="H4" s="3" t="s">
        <v>479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480</v>
      </c>
      <c r="C5" s="4" t="s">
        <v>253</v>
      </c>
      <c r="D5" s="4" t="s">
        <v>481</v>
      </c>
      <c r="E5" s="4" t="s">
        <v>482</v>
      </c>
      <c r="F5" s="4" t="s">
        <v>483</v>
      </c>
      <c r="G5" s="4" t="s">
        <v>484</v>
      </c>
      <c r="H5" s="4" t="s">
        <v>485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486</v>
      </c>
      <c r="C6" s="6" t="s">
        <v>256</v>
      </c>
      <c r="D6" s="6" t="s">
        <v>487</v>
      </c>
      <c r="E6" s="6" t="s">
        <v>267</v>
      </c>
      <c r="F6" s="6" t="s">
        <v>488</v>
      </c>
      <c r="G6" s="6" t="s">
        <v>489</v>
      </c>
      <c r="H6" s="6" t="s">
        <v>485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490</v>
      </c>
      <c r="C7" s="4" t="s">
        <v>259</v>
      </c>
      <c r="D7" s="4" t="s">
        <v>491</v>
      </c>
      <c r="E7" s="4" t="s">
        <v>492</v>
      </c>
      <c r="F7" s="4" t="s">
        <v>493</v>
      </c>
      <c r="G7" s="4" t="s">
        <v>494</v>
      </c>
      <c r="H7" s="4" t="s">
        <v>485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495</v>
      </c>
      <c r="C8" s="6" t="s">
        <v>262</v>
      </c>
      <c r="D8" s="6" t="s">
        <v>496</v>
      </c>
      <c r="E8" s="6" t="s">
        <v>497</v>
      </c>
      <c r="F8" s="6" t="s">
        <v>498</v>
      </c>
      <c r="G8" s="6" t="s">
        <v>499</v>
      </c>
      <c r="H8" s="6" t="s">
        <v>485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500</v>
      </c>
      <c r="C9" s="4" t="s">
        <v>501</v>
      </c>
      <c r="D9" s="4" t="s">
        <v>502</v>
      </c>
      <c r="E9" s="4" t="s">
        <v>503</v>
      </c>
      <c r="F9" s="4" t="s">
        <v>504</v>
      </c>
      <c r="G9" s="4" t="s">
        <v>505</v>
      </c>
      <c r="H9" s="4" t="s">
        <v>485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defaultRowHeight="15" outlineLevelRow="0" outlineLevelCol="0" x14ac:dyDescent="55"/>
  <cols>
    <col min="1" max="1" width="63" customWidth="1"/>
    <col min="2" max="2" width="15" customWidth="1"/>
    <col min="3" max="3" width="33" customWidth="1"/>
    <col min="4" max="4" width="21" customWidth="1"/>
    <col min="5" max="5" width="17" customWidth="1"/>
    <col min="6" max="6" width="23" customWidth="1"/>
    <col min="7" max="7" width="15" customWidth="1"/>
    <col min="8" max="8" width="20" customWidth="1"/>
    <col min="9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506</v>
      </c>
    </row>
    <row r="4" ht="26" customHeight="1" spans="1:30" s="3" customFormat="1" x14ac:dyDescent="0.25">
      <c r="A4" s="3" t="s">
        <v>2</v>
      </c>
      <c r="B4" s="3" t="s">
        <v>507</v>
      </c>
      <c r="C4" s="3" t="s">
        <v>282</v>
      </c>
      <c r="D4" s="3" t="s">
        <v>508</v>
      </c>
      <c r="E4" s="3" t="s">
        <v>509</v>
      </c>
      <c r="F4" s="3" t="s">
        <v>510</v>
      </c>
      <c r="G4" s="3" t="s">
        <v>511</v>
      </c>
      <c r="H4" s="3" t="s">
        <v>449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512</v>
      </c>
      <c r="C5" s="4" t="s">
        <v>281</v>
      </c>
      <c r="D5" s="4">
        <v>120000</v>
      </c>
      <c r="E5" s="4" t="s">
        <v>513</v>
      </c>
      <c r="F5" s="4" t="s">
        <v>379</v>
      </c>
      <c r="G5" s="4">
        <v>14</v>
      </c>
      <c r="H5" s="4">
        <v>88.5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514</v>
      </c>
      <c r="C6" s="6" t="s">
        <v>515</v>
      </c>
      <c r="D6" s="6">
        <v>250000</v>
      </c>
      <c r="E6" s="6" t="s">
        <v>513</v>
      </c>
      <c r="F6" s="6" t="s">
        <v>372</v>
      </c>
      <c r="G6" s="6">
        <v>8</v>
      </c>
      <c r="H6" s="6">
        <v>85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516</v>
      </c>
      <c r="C7" s="4" t="s">
        <v>517</v>
      </c>
      <c r="D7" s="4">
        <v>45000</v>
      </c>
      <c r="E7" s="4" t="s">
        <v>518</v>
      </c>
      <c r="F7" s="4" t="s">
        <v>519</v>
      </c>
      <c r="G7" s="4">
        <v>1</v>
      </c>
      <c r="H7" s="4">
        <v>92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520</v>
      </c>
      <c r="C8" s="6" t="s">
        <v>521</v>
      </c>
      <c r="D8" s="6">
        <v>310000</v>
      </c>
      <c r="E8" s="6" t="s">
        <v>513</v>
      </c>
      <c r="F8" s="6" t="s">
        <v>379</v>
      </c>
      <c r="G8" s="6">
        <v>12</v>
      </c>
      <c r="H8" s="6">
        <v>78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522</v>
      </c>
      <c r="C9" s="4" t="s">
        <v>523</v>
      </c>
      <c r="D9" s="4">
        <v>1500000</v>
      </c>
      <c r="E9" s="4" t="s">
        <v>518</v>
      </c>
      <c r="F9" s="4" t="s">
        <v>357</v>
      </c>
      <c r="G9" s="4">
        <v>22</v>
      </c>
      <c r="H9" s="4">
        <v>70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defaultRowHeight="15" outlineLevelRow="0" outlineLevelCol="0" x14ac:dyDescent="55"/>
  <cols>
    <col min="1" max="1" width="55" customWidth="1"/>
    <col min="2" max="2" width="15" customWidth="1"/>
    <col min="3" max="3" width="17" customWidth="1"/>
    <col min="4" max="5" width="19" customWidth="1"/>
    <col min="6" max="6" width="24" customWidth="1"/>
    <col min="7" max="7" width="34" customWidth="1"/>
    <col min="8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524</v>
      </c>
    </row>
    <row r="4" ht="26" customHeight="1" spans="1:30" s="3" customFormat="1" x14ac:dyDescent="0.25">
      <c r="A4" s="3" t="s">
        <v>2</v>
      </c>
      <c r="B4" s="3" t="s">
        <v>525</v>
      </c>
      <c r="C4" s="3" t="s">
        <v>526</v>
      </c>
      <c r="D4" s="3" t="s">
        <v>527</v>
      </c>
      <c r="E4" s="3" t="s">
        <v>528</v>
      </c>
      <c r="F4" s="3" t="s">
        <v>529</v>
      </c>
      <c r="G4" s="3" t="s">
        <v>530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531</v>
      </c>
      <c r="C5" s="4" t="s">
        <v>285</v>
      </c>
      <c r="D5" s="4" t="s">
        <v>532</v>
      </c>
      <c r="E5" s="4" t="s">
        <v>533</v>
      </c>
      <c r="F5" s="4" t="s">
        <v>534</v>
      </c>
      <c r="G5" s="4" t="s">
        <v>535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536</v>
      </c>
      <c r="C6" s="6" t="s">
        <v>537</v>
      </c>
      <c r="D6" s="6" t="s">
        <v>538</v>
      </c>
      <c r="E6" s="6" t="s">
        <v>539</v>
      </c>
      <c r="F6" s="6" t="s">
        <v>540</v>
      </c>
      <c r="G6" s="6" t="s">
        <v>379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541</v>
      </c>
      <c r="C7" s="4" t="s">
        <v>542</v>
      </c>
      <c r="D7" s="4" t="s">
        <v>543</v>
      </c>
      <c r="E7" s="4" t="s">
        <v>544</v>
      </c>
      <c r="F7" s="4" t="s">
        <v>545</v>
      </c>
      <c r="G7" s="4" t="s">
        <v>546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547</v>
      </c>
      <c r="C8" s="6" t="s">
        <v>548</v>
      </c>
      <c r="D8" s="6" t="s">
        <v>549</v>
      </c>
      <c r="E8" s="6" t="s">
        <v>550</v>
      </c>
      <c r="F8" s="6" t="s">
        <v>551</v>
      </c>
      <c r="G8" s="6" t="s">
        <v>379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552</v>
      </c>
      <c r="C9" s="4" t="s">
        <v>553</v>
      </c>
      <c r="D9" s="4" t="s">
        <v>554</v>
      </c>
      <c r="E9" s="4" t="s">
        <v>555</v>
      </c>
      <c r="F9" s="4" t="s">
        <v>556</v>
      </c>
      <c r="G9" s="4" t="s">
        <v>557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defaultRowHeight="15" outlineLevelRow="0" outlineLevelCol="0" x14ac:dyDescent="55"/>
  <cols>
    <col min="1" max="1" width="63" customWidth="1"/>
    <col min="2" max="2" width="15" customWidth="1"/>
    <col min="3" max="3" width="23" customWidth="1"/>
    <col min="4" max="5" width="15" customWidth="1"/>
    <col min="6" max="6" width="19" customWidth="1"/>
    <col min="7" max="7" width="63" customWidth="1"/>
    <col min="8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558</v>
      </c>
    </row>
    <row r="4" ht="26" customHeight="1" spans="1:30" s="3" customFormat="1" x14ac:dyDescent="0.25">
      <c r="A4" s="3" t="s">
        <v>2</v>
      </c>
      <c r="B4" s="3" t="s">
        <v>559</v>
      </c>
      <c r="C4" s="3" t="s">
        <v>389</v>
      </c>
      <c r="D4" s="3" t="s">
        <v>204</v>
      </c>
      <c r="E4" s="3" t="s">
        <v>560</v>
      </c>
      <c r="F4" s="3" t="s">
        <v>561</v>
      </c>
      <c r="G4" s="3" t="s">
        <v>562</v>
      </c>
      <c r="H4" s="3" t="s">
        <v>191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563</v>
      </c>
      <c r="C5" s="4" t="s">
        <v>395</v>
      </c>
      <c r="D5" s="4" t="s">
        <v>198</v>
      </c>
      <c r="E5" s="4" t="s">
        <v>564</v>
      </c>
      <c r="F5" s="4" t="s">
        <v>565</v>
      </c>
      <c r="G5" s="4" t="s">
        <v>566</v>
      </c>
      <c r="H5" s="4" t="s">
        <v>196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567</v>
      </c>
      <c r="C6" s="6" t="s">
        <v>395</v>
      </c>
      <c r="D6" s="6" t="s">
        <v>216</v>
      </c>
      <c r="E6" s="6" t="s">
        <v>568</v>
      </c>
      <c r="F6" s="6" t="s">
        <v>569</v>
      </c>
      <c r="G6" s="6" t="s">
        <v>570</v>
      </c>
      <c r="H6" s="6" t="s">
        <v>196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defaultRowHeight="15" outlineLevelRow="0" outlineLevelCol="0" x14ac:dyDescent="55"/>
  <cols>
    <col min="1" max="1" width="62" customWidth="1"/>
    <col min="2" max="3" width="15" customWidth="1"/>
    <col min="4" max="5" width="63" customWidth="1"/>
    <col min="6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571</v>
      </c>
    </row>
    <row r="4" ht="26" customHeight="1" spans="1:30" s="3" customFormat="1" x14ac:dyDescent="0.25">
      <c r="A4" s="3" t="s">
        <v>2</v>
      </c>
      <c r="B4" s="3" t="s">
        <v>572</v>
      </c>
      <c r="C4" s="3" t="s">
        <v>204</v>
      </c>
      <c r="D4" s="3" t="s">
        <v>573</v>
      </c>
      <c r="E4" s="3" t="s">
        <v>574</v>
      </c>
      <c r="F4" s="3" t="s">
        <v>448</v>
      </c>
      <c r="G4" s="3" t="s">
        <v>191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575</v>
      </c>
      <c r="C5" s="4" t="s">
        <v>267</v>
      </c>
      <c r="D5" s="4" t="s">
        <v>576</v>
      </c>
      <c r="E5" s="4" t="s">
        <v>577</v>
      </c>
      <c r="F5" s="4" t="s">
        <v>461</v>
      </c>
      <c r="G5" s="4" t="s">
        <v>462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578</v>
      </c>
      <c r="C6" s="6" t="s">
        <v>267</v>
      </c>
      <c r="D6" s="6" t="s">
        <v>579</v>
      </c>
      <c r="E6" s="6" t="s">
        <v>580</v>
      </c>
      <c r="F6" s="6" t="s">
        <v>466</v>
      </c>
      <c r="G6" s="6" t="s">
        <v>581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workbookViewId="0"/>
  </sheetViews>
  <sheetFormatPr defaultRowHeight="15" outlineLevelRow="0" outlineLevelCol="0" x14ac:dyDescent="55"/>
  <cols>
    <col min="1" max="1" width="55" customWidth="1"/>
    <col min="2" max="3" width="15" customWidth="1"/>
    <col min="4" max="4" width="20" customWidth="1"/>
    <col min="5" max="5" width="15" customWidth="1"/>
    <col min="6" max="6" width="63" customWidth="1"/>
    <col min="7" max="7" width="30" customWidth="1"/>
    <col min="8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582</v>
      </c>
    </row>
    <row r="4" ht="26" customHeight="1" spans="1:30" s="3" customFormat="1" x14ac:dyDescent="0.25">
      <c r="A4" s="3" t="s">
        <v>2</v>
      </c>
      <c r="B4" s="3" t="s">
        <v>583</v>
      </c>
      <c r="C4" s="3" t="s">
        <v>584</v>
      </c>
      <c r="D4" s="3" t="s">
        <v>585</v>
      </c>
      <c r="E4" s="3" t="s">
        <v>586</v>
      </c>
      <c r="F4" s="3" t="s">
        <v>587</v>
      </c>
      <c r="G4" s="3" t="s">
        <v>588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589</v>
      </c>
      <c r="C5" s="4" t="s">
        <v>485</v>
      </c>
      <c r="D5" s="4" t="s">
        <v>575</v>
      </c>
      <c r="E5" s="4" t="s">
        <v>462</v>
      </c>
      <c r="F5" s="4" t="s">
        <v>590</v>
      </c>
      <c r="G5" s="4" t="s">
        <v>591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workbookViewId="0"/>
  </sheetViews>
  <sheetFormatPr defaultRowHeight="15" outlineLevelRow="0" outlineLevelCol="0" x14ac:dyDescent="55"/>
  <cols>
    <col min="1" max="1" width="51" customWidth="1"/>
    <col min="2" max="2" width="16" customWidth="1"/>
    <col min="3" max="3" width="31" customWidth="1"/>
    <col min="4" max="4" width="39" customWidth="1"/>
    <col min="5" max="6" width="15" customWidth="1"/>
    <col min="7" max="7" width="63" customWidth="1"/>
    <col min="8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592</v>
      </c>
    </row>
    <row r="4" ht="26" customHeight="1" spans="1:30" s="3" customFormat="1" x14ac:dyDescent="0.25">
      <c r="A4" s="3" t="s">
        <v>2</v>
      </c>
      <c r="B4" s="3" t="s">
        <v>593</v>
      </c>
      <c r="C4" s="3" t="s">
        <v>594</v>
      </c>
      <c r="D4" s="3" t="s">
        <v>595</v>
      </c>
      <c r="E4" s="3" t="s">
        <v>596</v>
      </c>
      <c r="F4" s="3" t="s">
        <v>191</v>
      </c>
      <c r="G4" s="3" t="s">
        <v>346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597</v>
      </c>
      <c r="C5" s="4" t="s">
        <v>598</v>
      </c>
      <c r="D5" s="4" t="s">
        <v>599</v>
      </c>
      <c r="E5" s="4" t="s">
        <v>600</v>
      </c>
      <c r="F5" s="4" t="s">
        <v>196</v>
      </c>
      <c r="G5" s="4" t="s">
        <v>601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P-00 INDEX</vt:lpstr>
      <vt:lpstr>P-DASHBOARD</vt:lpstr>
      <vt:lpstr>P-CHARTER</vt:lpstr>
      <vt:lpstr>P-DOMAINS</vt:lpstr>
      <vt:lpstr>P-ENTITIES</vt:lpstr>
      <vt:lpstr>P-SOURCES</vt:lpstr>
      <vt:lpstr>P-SENSORS</vt:lpstr>
      <vt:lpstr>P-COLLECTION</vt:lpstr>
      <vt:lpstr>P-METRICS</vt:lpstr>
      <vt:lpstr>P-TRENDS</vt:lpstr>
      <vt:lpstr>P-OPPORTUNITIES</vt:lpstr>
      <vt:lpstr>P-COMPETITORS</vt:lpstr>
      <vt:lpstr>P-SEARCH_INTEL</vt:lpstr>
      <vt:lpstr>P-GEOGRAPHY</vt:lpstr>
      <vt:lpstr>P-ALERTS</vt:lpstr>
      <vt:lpstr>P-RECOMMENDATIONS</vt:lpstr>
      <vt:lpstr>P-DECISIONS</vt:lpstr>
      <vt:lpstr>P-SESSIONS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 Sensor Fabric Engine</dc:creator>
  <dc:title/>
  <dc:subject/>
  <dc:description/>
  <cp:keywords/>
  <cp:category/>
  <cp:lastModifiedBy>Antigravity CLI</cp:lastModifiedBy>
  <dcterms:created xsi:type="dcterms:W3CDTF">2026-08-26T00:00:00Z</dcterms:created>
  <dcterms:modified xsi:type="dcterms:W3CDTF">2026-08-25T21:12:47Z</dcterms:modified>
</cp:coreProperties>
</file>